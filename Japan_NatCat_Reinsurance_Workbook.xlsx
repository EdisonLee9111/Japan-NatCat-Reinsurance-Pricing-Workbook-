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ssumptions" sheetId="1" state="visible" r:id="rId3"/>
    <sheet name="Exposure Portfolio" sheetId="2" state="visible" r:id="rId4"/>
    <sheet name="Loss Scenarios" sheetId="3" state="visible" r:id="rId5"/>
    <sheet name="Reinsurance Structures" sheetId="4" state="visible" r:id="rId6"/>
    <sheet name="Pricing &amp; Comparison" sheetId="5" state="visible" r:id="rId7"/>
    <sheet name="Sensitivity Analysis" sheetId="6" state="visible" r:id="rId8"/>
    <sheet name="Broker Advisory" sheetId="7" state="visible" r:id="rId9"/>
    <sheet name="Dashboard"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<sst xmlns="http://schemas.openxmlformats.org/spreadsheetml/2006/main" count="255" uniqueCount="193">
  <si>
    <t xml:space="preserve">Japan NatCat Reinsurance Pricing Workbook</t>
  </si>
  <si>
    <t xml:space="preserve">All blue values are adjustable inputs. Black values are calculated.</t>
  </si>
  <si>
    <t xml:space="preserve">EXCESS OF LOSS (XoL) LAYER DEFINITIONS</t>
  </si>
  <si>
    <t xml:space="preserve">Layer</t>
  </si>
  <si>
    <t xml:space="preserve">Attachment (¥B)</t>
  </si>
  <si>
    <t xml:space="preserve">Limit (¥B)</t>
  </si>
  <si>
    <t xml:space="preserve">Description</t>
  </si>
  <si>
    <t xml:space="preserve">Layer 1 (Working)</t>
  </si>
  <si>
    <t xml:space="preserve">Frequency layer — smaller, more frequent cat losses</t>
  </si>
  <si>
    <t xml:space="preserve">Layer 2 (Mid)</t>
  </si>
  <si>
    <t xml:space="preserve">Mid-severity events (e.g., major typhoon)</t>
  </si>
  <si>
    <t xml:space="preserve">Layer 3 (Cat)</t>
  </si>
  <si>
    <t xml:space="preserve">Severe events (e.g., M7+ earthquake near metro)</t>
  </si>
  <si>
    <t xml:space="preserve">Layer 4 (Remote)</t>
  </si>
  <si>
    <t xml:space="preserve">Peak peril / tail risk protection</t>
  </si>
  <si>
    <t xml:space="preserve">QUOTA SHARE PARAMETERS</t>
  </si>
  <si>
    <t xml:space="preserve">Parameter</t>
  </si>
  <si>
    <t xml:space="preserve">Value</t>
  </si>
  <si>
    <t xml:space="preserve">Unit</t>
  </si>
  <si>
    <t xml:space="preserve">Cession Percentage</t>
  </si>
  <si>
    <t xml:space="preserve">%</t>
  </si>
  <si>
    <t xml:space="preserve">Proportion of every loss ceded to reinsurer</t>
  </si>
  <si>
    <t xml:space="preserve">Ceding Commission</t>
  </si>
  <si>
    <t xml:space="preserve">Commission paid back to cedent by reinsurer</t>
  </si>
  <si>
    <t xml:space="preserve">PRICING PARAMETERS</t>
  </si>
  <si>
    <t xml:space="preserve">Loading Factor (Profit + Expenses)</t>
  </si>
  <si>
    <t xml:space="preserve">x</t>
  </si>
  <si>
    <t xml:space="preserve">Applied on top of expected loss</t>
  </si>
  <si>
    <t xml:space="preserve">Brokerage Fee</t>
  </si>
  <si>
    <t xml:space="preserve">Broker commission (e.g., Gallagher Re)</t>
  </si>
  <si>
    <t xml:space="preserve">Monte Carlo Scenarios (conceptual)</t>
  </si>
  <si>
    <t xml:space="preserve">#</t>
  </si>
  <si>
    <t xml:space="preserve">Number of simulated years</t>
  </si>
  <si>
    <t xml:space="preserve">Hypothetical Japanese Property Insurance Portfolio</t>
  </si>
  <si>
    <t xml:space="preserve">Source: Prefecture GDP weights (Cabinet Office), Construction type assumptions based on published GIROJ data</t>
  </si>
  <si>
    <t xml:space="preserve">Region / Prefecture</t>
  </si>
  <si>
    <t xml:space="preserve">TSI (¥ Billion)</t>
  </si>
  <si>
    <t xml:space="preserve">Occupancy</t>
  </si>
  <si>
    <t xml:space="preserve">Construction</t>
  </si>
  <si>
    <t xml:space="preserve">EQ Deductible %</t>
  </si>
  <si>
    <t xml:space="preserve">Wind Deductible %</t>
  </si>
  <si>
    <t xml:space="preserve">Portfolio Share</t>
  </si>
  <si>
    <r>
      <rPr>
        <sz val="10"/>
        <color rgb="FF000000"/>
        <rFont val="Arial"/>
        <family val="0"/>
        <charset val="1"/>
      </rPr>
      <t xml:space="preserve">Tokyo (</t>
    </r>
    <r>
      <rPr>
        <sz val="10"/>
        <color rgb="FF000000"/>
        <rFont val="Noto Sans CJK SC"/>
        <family val="2"/>
      </rPr>
      <t xml:space="preserve">東京</t>
    </r>
    <r>
      <rPr>
        <sz val="10"/>
        <color rgb="FF000000"/>
        <rFont val="Arial"/>
        <family val="0"/>
        <charset val="1"/>
      </rPr>
      <t xml:space="preserve">)</t>
    </r>
  </si>
  <si>
    <t xml:space="preserve">Commercial/Residential</t>
  </si>
  <si>
    <t xml:space="preserve">SRC / RC</t>
  </si>
  <si>
    <r>
      <rPr>
        <sz val="10"/>
        <color rgb="FF000000"/>
        <rFont val="Arial"/>
        <family val="0"/>
        <charset val="1"/>
      </rPr>
      <t xml:space="preserve">Kanagawa (</t>
    </r>
    <r>
      <rPr>
        <sz val="10"/>
        <color rgb="FF000000"/>
        <rFont val="Noto Sans CJK SC"/>
        <family val="2"/>
      </rPr>
      <t xml:space="preserve">神奈川</t>
    </r>
    <r>
      <rPr>
        <sz val="10"/>
        <color rgb="FF000000"/>
        <rFont val="Arial"/>
        <family val="0"/>
        <charset val="1"/>
      </rPr>
      <t xml:space="preserve">)</t>
    </r>
  </si>
  <si>
    <t xml:space="preserve">RC / Wood</t>
  </si>
  <si>
    <r>
      <rPr>
        <sz val="10"/>
        <color rgb="FF000000"/>
        <rFont val="Arial"/>
        <family val="0"/>
        <charset val="1"/>
      </rPr>
      <t xml:space="preserve">Osaka (</t>
    </r>
    <r>
      <rPr>
        <sz val="10"/>
        <color rgb="FF000000"/>
        <rFont val="Noto Sans CJK SC"/>
        <family val="2"/>
      </rPr>
      <t xml:space="preserve">大阪</t>
    </r>
    <r>
      <rPr>
        <sz val="10"/>
        <color rgb="FF000000"/>
        <rFont val="Arial"/>
        <family val="0"/>
        <charset val="1"/>
      </rPr>
      <t xml:space="preserve">)</t>
    </r>
  </si>
  <si>
    <r>
      <rPr>
        <sz val="10"/>
        <color rgb="FF000000"/>
        <rFont val="Arial"/>
        <family val="0"/>
        <charset val="1"/>
      </rPr>
      <t xml:space="preserve">Aichi (</t>
    </r>
    <r>
      <rPr>
        <sz val="10"/>
        <color rgb="FF000000"/>
        <rFont val="Noto Sans CJK SC"/>
        <family val="2"/>
      </rPr>
      <t xml:space="preserve">愛知</t>
    </r>
    <r>
      <rPr>
        <sz val="10"/>
        <color rgb="FF000000"/>
        <rFont val="Arial"/>
        <family val="0"/>
        <charset val="1"/>
      </rPr>
      <t xml:space="preserve">)</t>
    </r>
  </si>
  <si>
    <t xml:space="preserve">Industrial/Commercial</t>
  </si>
  <si>
    <t xml:space="preserve">Steel / RC</t>
  </si>
  <si>
    <r>
      <rPr>
        <sz val="10"/>
        <color rgb="FF000000"/>
        <rFont val="Arial"/>
        <family val="0"/>
        <charset val="1"/>
      </rPr>
      <t xml:space="preserve">Fukuoka (</t>
    </r>
    <r>
      <rPr>
        <sz val="10"/>
        <color rgb="FF000000"/>
        <rFont val="Noto Sans CJK SC"/>
        <family val="2"/>
      </rPr>
      <t xml:space="preserve">福岡</t>
    </r>
    <r>
      <rPr>
        <sz val="10"/>
        <color rgb="FF000000"/>
        <rFont val="Arial"/>
        <family val="0"/>
        <charset val="1"/>
      </rPr>
      <t xml:space="preserve">)</t>
    </r>
  </si>
  <si>
    <r>
      <rPr>
        <sz val="10"/>
        <color rgb="FF000000"/>
        <rFont val="Arial"/>
        <family val="0"/>
        <charset val="1"/>
      </rPr>
      <t xml:space="preserve">Hokkaido (</t>
    </r>
    <r>
      <rPr>
        <sz val="10"/>
        <color rgb="FF000000"/>
        <rFont val="Noto Sans CJK SC"/>
        <family val="2"/>
      </rPr>
      <t xml:space="preserve">北海道</t>
    </r>
    <r>
      <rPr>
        <sz val="10"/>
        <color rgb="FF000000"/>
        <rFont val="Arial"/>
        <family val="0"/>
        <charset val="1"/>
      </rPr>
      <t xml:space="preserve">)</t>
    </r>
  </si>
  <si>
    <t xml:space="preserve">Residential/Agricultural</t>
  </si>
  <si>
    <t xml:space="preserve">Wood / RC</t>
  </si>
  <si>
    <r>
      <rPr>
        <sz val="10"/>
        <color rgb="FF000000"/>
        <rFont val="Arial"/>
        <family val="0"/>
        <charset val="1"/>
      </rPr>
      <t xml:space="preserve">Miyagi (</t>
    </r>
    <r>
      <rPr>
        <sz val="10"/>
        <color rgb="FF000000"/>
        <rFont val="Noto Sans CJK SC"/>
        <family val="2"/>
      </rPr>
      <t xml:space="preserve">宮城</t>
    </r>
    <r>
      <rPr>
        <sz val="10"/>
        <color rgb="FF000000"/>
        <rFont val="Arial"/>
        <family val="0"/>
        <charset val="1"/>
      </rPr>
      <t xml:space="preserve">)</t>
    </r>
  </si>
  <si>
    <r>
      <rPr>
        <sz val="10"/>
        <color rgb="FF000000"/>
        <rFont val="Arial"/>
        <family val="0"/>
        <charset val="1"/>
      </rPr>
      <t xml:space="preserve">Hyogo (</t>
    </r>
    <r>
      <rPr>
        <sz val="10"/>
        <color rgb="FF000000"/>
        <rFont val="Noto Sans CJK SC"/>
        <family val="2"/>
      </rPr>
      <t xml:space="preserve">兵庫</t>
    </r>
    <r>
      <rPr>
        <sz val="10"/>
        <color rgb="FF000000"/>
        <rFont val="Arial"/>
        <family val="0"/>
        <charset val="1"/>
      </rPr>
      <t xml:space="preserve">)</t>
    </r>
  </si>
  <si>
    <r>
      <rPr>
        <sz val="10"/>
        <color rgb="FF000000"/>
        <rFont val="Arial"/>
        <family val="0"/>
        <charset val="1"/>
      </rPr>
      <t xml:space="preserve">Chiba (</t>
    </r>
    <r>
      <rPr>
        <sz val="10"/>
        <color rgb="FF000000"/>
        <rFont val="Noto Sans CJK SC"/>
        <family val="2"/>
      </rPr>
      <t xml:space="preserve">千葉</t>
    </r>
    <r>
      <rPr>
        <sz val="10"/>
        <color rgb="FF000000"/>
        <rFont val="Arial"/>
        <family val="0"/>
        <charset val="1"/>
      </rPr>
      <t xml:space="preserve">)</t>
    </r>
  </si>
  <si>
    <t xml:space="preserve">Residential/Commercial</t>
  </si>
  <si>
    <r>
      <rPr>
        <sz val="10"/>
        <color rgb="FF000000"/>
        <rFont val="Arial"/>
        <family val="0"/>
        <charset val="1"/>
      </rPr>
      <t xml:space="preserve">Saitama (</t>
    </r>
    <r>
      <rPr>
        <sz val="10"/>
        <color rgb="FF000000"/>
        <rFont val="Noto Sans CJK SC"/>
        <family val="2"/>
      </rPr>
      <t xml:space="preserve">埼玉</t>
    </r>
    <r>
      <rPr>
        <sz val="10"/>
        <color rgb="FF000000"/>
        <rFont val="Arial"/>
        <family val="0"/>
        <charset val="1"/>
      </rPr>
      <t xml:space="preserve">)</t>
    </r>
  </si>
  <si>
    <r>
      <rPr>
        <sz val="10"/>
        <color rgb="FF000000"/>
        <rFont val="Arial"/>
        <family val="0"/>
        <charset val="1"/>
      </rPr>
      <t xml:space="preserve">Shizuoka (</t>
    </r>
    <r>
      <rPr>
        <sz val="10"/>
        <color rgb="FF000000"/>
        <rFont val="Noto Sans CJK SC"/>
        <family val="2"/>
      </rPr>
      <t xml:space="preserve">静岡</t>
    </r>
    <r>
      <rPr>
        <sz val="10"/>
        <color rgb="FF000000"/>
        <rFont val="Arial"/>
        <family val="0"/>
        <charset val="1"/>
      </rPr>
      <t xml:space="preserve">)</t>
    </r>
  </si>
  <si>
    <t xml:space="preserve">Industrial/Residential</t>
  </si>
  <si>
    <r>
      <rPr>
        <sz val="10"/>
        <color rgb="FF000000"/>
        <rFont val="Arial"/>
        <family val="0"/>
        <charset val="1"/>
      </rPr>
      <t xml:space="preserve">Hiroshima (</t>
    </r>
    <r>
      <rPr>
        <sz val="10"/>
        <color rgb="FF000000"/>
        <rFont val="Noto Sans CJK SC"/>
        <family val="2"/>
      </rPr>
      <t xml:space="preserve">広島</t>
    </r>
    <r>
      <rPr>
        <sz val="10"/>
        <color rgb="FF000000"/>
        <rFont val="Arial"/>
        <family val="0"/>
        <charset val="1"/>
      </rPr>
      <t xml:space="preserve">)</t>
    </r>
  </si>
  <si>
    <r>
      <rPr>
        <sz val="10"/>
        <color rgb="FF000000"/>
        <rFont val="Arial"/>
        <family val="0"/>
        <charset val="1"/>
      </rPr>
      <t xml:space="preserve">Niigata (</t>
    </r>
    <r>
      <rPr>
        <sz val="10"/>
        <color rgb="FF000000"/>
        <rFont val="Noto Sans CJK SC"/>
        <family val="2"/>
      </rPr>
      <t xml:space="preserve">新潟</t>
    </r>
    <r>
      <rPr>
        <sz val="10"/>
        <color rgb="FF000000"/>
        <rFont val="Arial"/>
        <family val="0"/>
        <charset val="1"/>
      </rPr>
      <t xml:space="preserve">)</t>
    </r>
  </si>
  <si>
    <t xml:space="preserve">Wood</t>
  </si>
  <si>
    <r>
      <rPr>
        <sz val="10"/>
        <color rgb="FF000000"/>
        <rFont val="Arial"/>
        <family val="0"/>
        <charset val="1"/>
      </rPr>
      <t xml:space="preserve">Kumamoto (</t>
    </r>
    <r>
      <rPr>
        <sz val="10"/>
        <color rgb="FF000000"/>
        <rFont val="Noto Sans CJK SC"/>
        <family val="2"/>
      </rPr>
      <t xml:space="preserve">熊本</t>
    </r>
    <r>
      <rPr>
        <sz val="10"/>
        <color rgb="FF000000"/>
        <rFont val="Arial"/>
        <family val="0"/>
        <charset val="1"/>
      </rPr>
      <t xml:space="preserve">)</t>
    </r>
  </si>
  <si>
    <r>
      <rPr>
        <sz val="10"/>
        <color rgb="FF000000"/>
        <rFont val="Arial"/>
        <family val="0"/>
        <charset val="1"/>
      </rPr>
      <t xml:space="preserve">Okinawa (</t>
    </r>
    <r>
      <rPr>
        <sz val="10"/>
        <color rgb="FF000000"/>
        <rFont val="Noto Sans CJK SC"/>
        <family val="2"/>
      </rPr>
      <t xml:space="preserve">沖縄</t>
    </r>
    <r>
      <rPr>
        <sz val="10"/>
        <color rgb="FF000000"/>
        <rFont val="Arial"/>
        <family val="0"/>
        <charset val="1"/>
      </rPr>
      <t xml:space="preserve">)</t>
    </r>
  </si>
  <si>
    <t xml:space="preserve">Residential</t>
  </si>
  <si>
    <t xml:space="preserve">RC</t>
  </si>
  <si>
    <t xml:space="preserve">Other Prefectures</t>
  </si>
  <si>
    <t xml:space="preserve">Mixed</t>
  </si>
  <si>
    <t xml:space="preserve">TOTAL PORTFOLIO</t>
  </si>
  <si>
    <t xml:space="preserve">Historical &amp; Hypothetical Catastrophe Loss Scenarios</t>
  </si>
  <si>
    <t xml:space="preserve">Loss estimates are illustrative, calibrated to publicly reported insured loss ranges. Sources: Swiss Re Sigma, GIROJ, Industry reports.</t>
  </si>
  <si>
    <t xml:space="preserve">Year</t>
  </si>
  <si>
    <t xml:space="preserve">Event</t>
  </si>
  <si>
    <t xml:space="preserve">Peril</t>
  </si>
  <si>
    <t xml:space="preserve">JMA Intensity / Category</t>
  </si>
  <si>
    <t xml:space="preserve">Gross Loss (¥B)</t>
  </si>
  <si>
    <t xml:space="preserve">After Deductible (¥B)</t>
  </si>
  <si>
    <t xml:space="preserve">Return Period (est.)</t>
  </si>
  <si>
    <r>
      <rPr>
        <sz val="10"/>
        <color rgb="FF000000"/>
        <rFont val="Arial"/>
        <family val="0"/>
        <charset val="1"/>
      </rPr>
      <t xml:space="preserve">Tohoku Earthquake &amp; Tsunami (</t>
    </r>
    <r>
      <rPr>
        <sz val="10"/>
        <color rgb="FF000000"/>
        <rFont val="Noto Sans CJK SC"/>
        <family val="2"/>
      </rPr>
      <t xml:space="preserve">東日本大震災</t>
    </r>
    <r>
      <rPr>
        <sz val="10"/>
        <color rgb="FF000000"/>
        <rFont val="Arial"/>
        <family val="0"/>
        <charset val="1"/>
      </rPr>
      <t xml:space="preserve">)</t>
    </r>
  </si>
  <si>
    <t xml:space="preserve">EQ</t>
  </si>
  <si>
    <t xml:space="preserve">M9.0 / Shindo 7</t>
  </si>
  <si>
    <t xml:space="preserve">~500 yr</t>
  </si>
  <si>
    <r>
      <rPr>
        <sz val="10"/>
        <color rgb="FF000000"/>
        <rFont val="Arial"/>
        <family val="0"/>
        <charset val="1"/>
      </rPr>
      <t xml:space="preserve">Typhoon Jebi (</t>
    </r>
    <r>
      <rPr>
        <sz val="10"/>
        <color rgb="FF000000"/>
        <rFont val="Noto Sans CJK SC"/>
        <family val="2"/>
      </rPr>
      <t xml:space="preserve">台風</t>
    </r>
    <r>
      <rPr>
        <sz val="10"/>
        <color rgb="FF000000"/>
        <rFont val="Arial"/>
        <family val="0"/>
        <charset val="1"/>
      </rPr>
      <t xml:space="preserve">21</t>
    </r>
    <r>
      <rPr>
        <sz val="10"/>
        <color rgb="FF000000"/>
        <rFont val="Noto Sans CJK SC"/>
        <family val="2"/>
      </rPr>
      <t xml:space="preserve">号</t>
    </r>
    <r>
      <rPr>
        <sz val="10"/>
        <color rgb="FF000000"/>
        <rFont val="Arial"/>
        <family val="0"/>
        <charset val="1"/>
      </rPr>
      <t xml:space="preserve">)</t>
    </r>
  </si>
  <si>
    <t xml:space="preserve">WS</t>
  </si>
  <si>
    <t xml:space="preserve">Cat 4 equivalent</t>
  </si>
  <si>
    <t xml:space="preserve">~50 yr</t>
  </si>
  <si>
    <r>
      <rPr>
        <sz val="10"/>
        <color rgb="FF000000"/>
        <rFont val="Arial"/>
        <family val="0"/>
        <charset val="1"/>
      </rPr>
      <t xml:space="preserve">Typhoon Hagibis (</t>
    </r>
    <r>
      <rPr>
        <sz val="10"/>
        <color rgb="FF000000"/>
        <rFont val="Noto Sans CJK SC"/>
        <family val="2"/>
      </rPr>
      <t xml:space="preserve">台風</t>
    </r>
    <r>
      <rPr>
        <sz val="10"/>
        <color rgb="FF000000"/>
        <rFont val="Arial"/>
        <family val="0"/>
        <charset val="1"/>
      </rPr>
      <t xml:space="preserve">19</t>
    </r>
    <r>
      <rPr>
        <sz val="10"/>
        <color rgb="FF000000"/>
        <rFont val="Noto Sans CJK SC"/>
        <family val="2"/>
      </rPr>
      <t xml:space="preserve">号</t>
    </r>
    <r>
      <rPr>
        <sz val="10"/>
        <color rgb="FF000000"/>
        <rFont val="Arial"/>
        <family val="0"/>
        <charset val="1"/>
      </rPr>
      <t xml:space="preserve">)</t>
    </r>
  </si>
  <si>
    <t xml:space="preserve">~40 yr</t>
  </si>
  <si>
    <r>
      <rPr>
        <sz val="10"/>
        <color rgb="FF000000"/>
        <rFont val="Arial"/>
        <family val="0"/>
        <charset val="1"/>
      </rPr>
      <t xml:space="preserve">Kumamoto Earthquake (</t>
    </r>
    <r>
      <rPr>
        <sz val="10"/>
        <color rgb="FF000000"/>
        <rFont val="Noto Sans CJK SC"/>
        <family val="2"/>
      </rPr>
      <t xml:space="preserve">熊本地震</t>
    </r>
    <r>
      <rPr>
        <sz val="10"/>
        <color rgb="FF000000"/>
        <rFont val="Arial"/>
        <family val="0"/>
        <charset val="1"/>
      </rPr>
      <t xml:space="preserve">)</t>
    </r>
  </si>
  <si>
    <t xml:space="preserve">M7.3 / Shindo 7</t>
  </si>
  <si>
    <t xml:space="preserve">~80 yr</t>
  </si>
  <si>
    <r>
      <rPr>
        <sz val="10"/>
        <color rgb="FF000000"/>
        <rFont val="Arial"/>
        <family val="0"/>
        <charset val="1"/>
      </rPr>
      <t xml:space="preserve">Osaka Earthquake (</t>
    </r>
    <r>
      <rPr>
        <sz val="10"/>
        <color rgb="FF000000"/>
        <rFont val="Noto Sans CJK SC"/>
        <family val="2"/>
      </rPr>
      <t xml:space="preserve">大阪北部地震</t>
    </r>
    <r>
      <rPr>
        <sz val="10"/>
        <color rgb="FF000000"/>
        <rFont val="Arial"/>
        <family val="0"/>
        <charset val="1"/>
      </rPr>
      <t xml:space="preserve">)</t>
    </r>
  </si>
  <si>
    <t xml:space="preserve">M6.1 / Shindo 6+</t>
  </si>
  <si>
    <t xml:space="preserve">~30 yr</t>
  </si>
  <si>
    <r>
      <rPr>
        <sz val="10"/>
        <color rgb="FF000000"/>
        <rFont val="Arial"/>
        <family val="0"/>
        <charset val="1"/>
      </rPr>
      <t xml:space="preserve">Typhoon Tokage (</t>
    </r>
    <r>
      <rPr>
        <sz val="10"/>
        <color rgb="FF000000"/>
        <rFont val="Noto Sans CJK SC"/>
        <family val="2"/>
      </rPr>
      <t xml:space="preserve">台風</t>
    </r>
    <r>
      <rPr>
        <sz val="10"/>
        <color rgb="FF000000"/>
        <rFont val="Arial"/>
        <family val="0"/>
        <charset val="1"/>
      </rPr>
      <t xml:space="preserve">23</t>
    </r>
    <r>
      <rPr>
        <sz val="10"/>
        <color rgb="FF000000"/>
        <rFont val="Noto Sans CJK SC"/>
        <family val="2"/>
      </rPr>
      <t xml:space="preserve">号</t>
    </r>
    <r>
      <rPr>
        <sz val="10"/>
        <color rgb="FF000000"/>
        <rFont val="Arial"/>
        <family val="0"/>
        <charset val="1"/>
      </rPr>
      <t xml:space="preserve">)</t>
    </r>
  </si>
  <si>
    <t xml:space="preserve">Cat 3 equivalent</t>
  </si>
  <si>
    <t xml:space="preserve">~20 yr</t>
  </si>
  <si>
    <r>
      <rPr>
        <sz val="10"/>
        <color rgb="FF000000"/>
        <rFont val="Arial"/>
        <family val="0"/>
        <charset val="1"/>
      </rPr>
      <t xml:space="preserve">Kobe Earthquake (</t>
    </r>
    <r>
      <rPr>
        <sz val="10"/>
        <color rgb="FF000000"/>
        <rFont val="Noto Sans CJK SC"/>
        <family val="2"/>
      </rPr>
      <t xml:space="preserve">阪神・淡路大震災</t>
    </r>
    <r>
      <rPr>
        <sz val="10"/>
        <color rgb="FF000000"/>
        <rFont val="Arial"/>
        <family val="0"/>
        <charset val="1"/>
      </rPr>
      <t xml:space="preserve">)</t>
    </r>
  </si>
  <si>
    <t xml:space="preserve">~200 yr</t>
  </si>
  <si>
    <t xml:space="preserve">Hypo-A</t>
  </si>
  <si>
    <r>
      <rPr>
        <sz val="10"/>
        <color rgb="FF000000"/>
        <rFont val="Arial"/>
        <family val="0"/>
        <charset val="1"/>
      </rPr>
      <t xml:space="preserve">Nankai Trough Scenario (</t>
    </r>
    <r>
      <rPr>
        <sz val="10"/>
        <color rgb="FF000000"/>
        <rFont val="Noto Sans CJK SC"/>
        <family val="2"/>
      </rPr>
      <t xml:space="preserve">南海トラフ</t>
    </r>
    <r>
      <rPr>
        <sz val="10"/>
        <color rgb="FF000000"/>
        <rFont val="Arial"/>
        <family val="0"/>
        <charset val="1"/>
      </rPr>
      <t xml:space="preserve">)</t>
    </r>
  </si>
  <si>
    <t xml:space="preserve">M8.5+ / Shindo 7</t>
  </si>
  <si>
    <t xml:space="preserve">~150 yr</t>
  </si>
  <si>
    <t xml:space="preserve">Hypo-B</t>
  </si>
  <si>
    <r>
      <rPr>
        <sz val="10"/>
        <color rgb="FF000000"/>
        <rFont val="Arial"/>
        <family val="0"/>
        <charset val="1"/>
      </rPr>
      <t xml:space="preserve">Tokyo Inland EQ (</t>
    </r>
    <r>
      <rPr>
        <sz val="10"/>
        <color rgb="FF000000"/>
        <rFont val="Noto Sans CJK SC"/>
        <family val="2"/>
      </rPr>
      <t xml:space="preserve">首都直下地震</t>
    </r>
    <r>
      <rPr>
        <sz val="10"/>
        <color rgb="FF000000"/>
        <rFont val="Arial"/>
        <family val="0"/>
        <charset val="1"/>
      </rPr>
      <t xml:space="preserve">)</t>
    </r>
  </si>
  <si>
    <t xml:space="preserve">Hypo-C</t>
  </si>
  <si>
    <t xml:space="preserve">Super Typhoon Tokyo Direct Hit</t>
  </si>
  <si>
    <t xml:space="preserve">Cat 5 equivalent</t>
  </si>
  <si>
    <t xml:space="preserve">~100 yr</t>
  </si>
  <si>
    <t xml:space="preserve">Hypo-D</t>
  </si>
  <si>
    <t xml:space="preserve">Moderate Typhoon Season (multiple)</t>
  </si>
  <si>
    <t xml:space="preserve">Cat 2-3 aggregate</t>
  </si>
  <si>
    <t xml:space="preserve">~10 yr</t>
  </si>
  <si>
    <t xml:space="preserve">Hypo-E</t>
  </si>
  <si>
    <t xml:space="preserve">Minor EQ Swarm (freq. losses)</t>
  </si>
  <si>
    <t xml:space="preserve">M5-6 multiple</t>
  </si>
  <si>
    <t xml:space="preserve">~5 yr</t>
  </si>
  <si>
    <t xml:space="preserve">Reinsurance Structure Comparison — Per-Event Loss Allocation</t>
  </si>
  <si>
    <t xml:space="preserve">All formulas reference Assumptions sheet for layer definitions and Loss Scenarios sheet for gross losses.</t>
  </si>
  <si>
    <t xml:space="preserve">A. EXCESS OF LOSS — PER-EVENT ALLOCATION</t>
  </si>
  <si>
    <t xml:space="preserve">Net Loss (¥B)</t>
  </si>
  <si>
    <t xml:space="preserve">L1: Cedent Retains</t>
  </si>
  <si>
    <t xml:space="preserve">L1: Reinsurer Pays</t>
  </si>
  <si>
    <t xml:space="preserve">L2: Cedent Retains</t>
  </si>
  <si>
    <t xml:space="preserve">L2: Reinsurer Pays</t>
  </si>
  <si>
    <t xml:space="preserve">L3: Cedent Retains</t>
  </si>
  <si>
    <t xml:space="preserve">L3: Reinsurer Pays</t>
  </si>
  <si>
    <t xml:space="preserve">AVERAGE (proxy for AAL)</t>
  </si>
  <si>
    <t xml:space="preserve">MAX (worst case)</t>
  </si>
  <si>
    <t xml:space="preserve">B. QUOTA SHARE — PER-EVENT ALLOCATION</t>
  </si>
  <si>
    <t xml:space="preserve">Cedent Retains (¥B)</t>
  </si>
  <si>
    <t xml:space="preserve">Reinsurer Pays (¥B)</t>
  </si>
  <si>
    <t xml:space="preserve">AVERAGE</t>
  </si>
  <si>
    <t xml:space="preserve">Reinsurance Pricing Summary &amp; Structure Comparison</t>
  </si>
  <si>
    <t xml:space="preserve">A. XoL LAYER PRICING</t>
  </si>
  <si>
    <t xml:space="preserve">Metric</t>
  </si>
  <si>
    <t xml:space="preserve">Layer 1
¥10B xs ¥10B</t>
  </si>
  <si>
    <t xml:space="preserve">Layer 2
¥30B xs ¥30B</t>
  </si>
  <si>
    <t xml:space="preserve">Layer 3
¥40B xs ¥60B</t>
  </si>
  <si>
    <t xml:space="preserve">Total XoL Program</t>
  </si>
  <si>
    <t xml:space="preserve">Expected Ceded Loss (¥B)</t>
  </si>
  <si>
    <t xml:space="preserve">Layer Limit (¥B)</t>
  </si>
  <si>
    <t xml:space="preserve">Rate on Line (ROL)</t>
  </si>
  <si>
    <t xml:space="preserve">Technical Premium (¥B)</t>
  </si>
  <si>
    <t xml:space="preserve">Less: Brokerage (¥B)</t>
  </si>
  <si>
    <t xml:space="preserve">Net Premium to Reinsurer (¥B)</t>
  </si>
  <si>
    <t xml:space="preserve">B. QUOTA SHARE PRICING</t>
  </si>
  <si>
    <t xml:space="preserve">Quota Share 30%</t>
  </si>
  <si>
    <t xml:space="preserve">Less: Ceding Commission (¥B)</t>
  </si>
  <si>
    <t xml:space="preserve">C. HEAD-TO-HEAD: XoL PROGRAM vs QUOTA SHARE</t>
  </si>
  <si>
    <t xml:space="preserve">XoL Program</t>
  </si>
  <si>
    <t xml:space="preserve">Broker Recommendation</t>
  </si>
  <si>
    <t xml:space="preserve">Total Premium Cost (¥B)</t>
  </si>
  <si>
    <t xml:space="preserve">Avg Ceded Loss (¥B)</t>
  </si>
  <si>
    <t xml:space="preserve">Max Single-Event Cedent Retention</t>
  </si>
  <si>
    <t xml:space="preserve">Cost per ¥1B Ceded Loss</t>
  </si>
  <si>
    <t xml:space="preserve">Sensitivity Analysis: How Structure Parameters Affect Cedent Cost &amp; Protection</t>
  </si>
  <si>
    <t xml:space="preserve">A. QUOTA SHARE — VARYING CESSION PERCENTAGE</t>
  </si>
  <si>
    <t xml:space="preserve">Cession %</t>
  </si>
  <si>
    <t xml:space="preserve">Premium (¥B)</t>
  </si>
  <si>
    <t xml:space="preserve">Cedent Max Retention (¥B)</t>
  </si>
  <si>
    <t xml:space="preserve">Cost Efficiency</t>
  </si>
  <si>
    <t xml:space="preserve">B. XoL LAYER 1 — VARYING ATTACHMENT POINT</t>
  </si>
  <si>
    <t xml:space="preserve">ROL</t>
  </si>
  <si>
    <t xml:space="preserve">BROKER ADVISORY MEMORANDUM</t>
  </si>
  <si>
    <t xml:space="preserve">Prepared for: [Hypothetical Japanese Cedent] | Prepared by: Edison Li | Date: March 2026</t>
  </si>
  <si>
    <t xml:space="preserve">TO: Chief Reinsurance Officer, [Cedent Name]</t>
  </si>
  <si>
    <t xml:space="preserve">FROM: Gallagher Re Tokyo — Reinsurance Advisory</t>
  </si>
  <si>
    <t xml:space="preserve">RE: FY2026 Property Catastrophe Reinsurance Program — Structure Recommendation</t>
  </si>
  <si>
    <t xml:space="preserve">EXECUTIVE SUMMARY</t>
  </si>
  <si>
    <t xml:space="preserve">This memorandum presents our analysis of two reinsurance structures for your Japanese property catastrophe portfolio (estimated TSI: ¥2,000B). Based on scenario analysis across 12 historical and hypothetical catastrophe events, we recommend a layered Excess of Loss (XoL) program as the primary risk transfer mechanism, supplemented by a modest Quota Share on the working layer for frequency protection.</t>
  </si>
  <si>
    <t xml:space="preserve">KEY FINDINGS</t>
  </si>
  <si>
    <t xml:space="preserve">1. Tail Risk Protection: The XoL program reduces your maximum single-event retention significantly compared to a standalone 30% Quota Share. For extreme scenarios (Nankai Trough M8.5+, Tokyo Inland M7.3), the XoL structure caps reinsurer-funded recovery at each layer limit, providing defined protection at the point of greatest balance sheet impact.</t>
  </si>
  <si>
    <t xml:space="preserve">2. Cost Efficiency: On a cost-per-unit-of-ceded-loss basis, XoL is more capital-efficient for peak perils. Quota Share spreads cost proportionally across all events, including small losses where the cedent has adequate retention capacity. This results in higher total premium for equivalent tail protection.</t>
  </si>
  <si>
    <t xml:space="preserve">3. Frequency vs. Severity Trade-off: Quota Share provides automatic protection for attritional and frequency losses (e.g., minor earthquake swarms, moderate typhoon seasons). If the cedent's priority is earnings stability rather than pure balance sheet protection, a blended approach incorporating Quota Share on the working layer may be appropriate.</t>
  </si>
  <si>
    <t xml:space="preserve">RECOMMENDATION</t>
  </si>
  <si>
    <t xml:space="preserve">Primary Structure: 3-layer XoL tower (¥20B xs ¥10B / ¥30B xs ¥30B / ¥40B xs ¥60B) providing ¥90B of aggregate catastrophe protection. This structure aligns with the portfolio's exposure concentration in Kanto and Kansai regions.</t>
  </si>
  <si>
    <t xml:space="preserve">Optional Supplement: 20-25% Quota Share on the ¥10B retention layer to smooth frequency losses and share premium income with capacity providers. This is particularly relevant given the elevated typhoon frequency observed since 2018.</t>
  </si>
  <si>
    <t xml:space="preserve">NEXT STEPS</t>
  </si>
  <si>
    <t xml:space="preserve">1. Review and confirm portfolio exposure data (attached: Exposure Portfolio sheet)</t>
  </si>
  <si>
    <t xml:space="preserve">2. Approve target structure and proceed to market</t>
  </si>
  <si>
    <t xml:space="preserve">3. Gallagher Re to prepare placement slip and approach lead reinsurers (London / Bermuda / Singapore markets)</t>
  </si>
  <si>
    <t xml:space="preserve">4. Target completion: Q1 FY2026, ahead of April 1 renewal</t>
  </si>
  <si>
    <t xml:space="preserve">We welcome the opportunity to discuss this analysis in detail at your convenience.</t>
  </si>
  <si>
    <t xml:space="preserve">VISUAL DASHBOARD — Reinsurance Structure Analysis</t>
  </si>
  <si>
    <t xml:space="preserve">Chart Data (linked from Pricing &amp; Comparison)</t>
  </si>
  <si>
    <t xml:space="preserve">Total Premium (¥B)</t>
  </si>
  <si>
    <t xml:space="preserve">Max Cedent Retention (¥B)</t>
  </si>
  <si>
    <t xml:space="preserve">Cost per ¥1B Ceded</t>
  </si>
  <si>
    <t xml:space="preserve">Max Retention Data</t>
  </si>
</sst>
</file>

<file path=xl/styles.xml><?xml version="1.0" encoding="utf-8"?>
<styleSheet xmlns="http://schemas.openxmlformats.org/spreadsheetml/2006/main">
  <numFmts count="7">
    <numFmt numFmtId="164" formatCode="General"/>
    <numFmt numFmtId="165" formatCode="#,##0"/>
    <numFmt numFmtId="166" formatCode="0.0%"/>
    <numFmt numFmtId="167" formatCode="#,##0.0"/>
    <numFmt numFmtId="168" formatCode="#,##0.00"/>
    <numFmt numFmtId="169" formatCode="0%"/>
    <numFmt numFmtId="170" formatCode="0.00\x"/>
  </numFmts>
  <fonts count="17">
    <font>
      <sz val="11"/>
      <color theme="1"/>
      <name val="Calibri"/>
      <family val="2"/>
      <charset val="1"/>
    </font>
    <font>
      <sz val="10"/>
      <name val="Arial"/>
      <family val="0"/>
    </font>
    <font>
      <sz val="10"/>
      <name val="Arial"/>
      <family val="0"/>
    </font>
    <font>
      <sz val="10"/>
      <name val="Arial"/>
      <family val="0"/>
    </font>
    <font>
      <b val="true"/>
      <sz val="14"/>
      <color rgb="FF000000"/>
      <name val="Arial"/>
      <family val="0"/>
      <charset val="1"/>
    </font>
    <font>
      <i val="true"/>
      <sz val="9"/>
      <color rgb="FF808080"/>
      <name val="Arial"/>
      <family val="0"/>
      <charset val="1"/>
    </font>
    <font>
      <b val="true"/>
      <sz val="12"/>
      <color rgb="FF1F4E79"/>
      <name val="Arial"/>
      <family val="0"/>
      <charset val="1"/>
    </font>
    <font>
      <b val="true"/>
      <sz val="11"/>
      <color rgb="FFFFFFFF"/>
      <name val="Arial"/>
      <family val="0"/>
      <charset val="1"/>
    </font>
    <font>
      <b val="true"/>
      <sz val="10"/>
      <color rgb="FF000000"/>
      <name val="Arial"/>
      <family val="0"/>
      <charset val="1"/>
    </font>
    <font>
      <sz val="10"/>
      <color rgb="FF0000FF"/>
      <name val="Arial"/>
      <family val="0"/>
      <charset val="1"/>
    </font>
    <font>
      <sz val="10"/>
      <color rgb="FF000000"/>
      <name val="Arial"/>
      <family val="0"/>
      <charset val="1"/>
    </font>
    <font>
      <sz val="10"/>
      <color rgb="FF000000"/>
      <name val="Noto Sans CJK SC"/>
      <family val="2"/>
    </font>
    <font>
      <sz val="10"/>
      <color rgb="FF008000"/>
      <name val="Arial"/>
      <family val="0"/>
      <charset val="1"/>
    </font>
    <font>
      <i val="true"/>
      <sz val="10"/>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s>
  <fills count="6">
    <fill>
      <patternFill patternType="none"/>
    </fill>
    <fill>
      <patternFill patternType="gray125"/>
    </fill>
    <fill>
      <patternFill patternType="solid">
        <fgColor rgb="FF1F4E79"/>
        <bgColor rgb="FF333333"/>
      </patternFill>
    </fill>
    <fill>
      <patternFill patternType="solid">
        <fgColor rgb="FFFFF2CC"/>
        <bgColor rgb="FFF9F9F9"/>
      </patternFill>
    </fill>
    <fill>
      <patternFill patternType="solid">
        <fgColor rgb="FFD6E4F0"/>
        <bgColor rgb="FFD9D9D9"/>
      </patternFill>
    </fill>
    <fill>
      <patternFill patternType="solid">
        <fgColor rgb="FFE2EFDA"/>
        <bgColor rgb="FFD6E4F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false" applyProtection="false">
      <alignment horizontal="general" vertical="bottom" textRotation="0" wrapText="fals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6" fontId="8" fillId="4"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5" fontId="9" fillId="3" borderId="1" xfId="0" applyFont="true" applyBorder="true" applyAlignment="true" applyProtection="false">
      <alignment horizontal="center" vertical="center" textRotation="0" wrapText="true" indent="0" shrinkToFit="false"/>
      <protection locked="true" hidden="false"/>
    </xf>
    <xf numFmtId="167" fontId="10" fillId="0"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false" applyProtection="false">
      <alignment horizontal="general" vertical="bottom" textRotation="0" wrapText="false" indent="0" shrinkToFit="false"/>
      <protection locked="true" hidden="false"/>
    </xf>
    <xf numFmtId="167" fontId="12"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7" fontId="10" fillId="5" borderId="1" xfId="0" applyFont="true" applyBorder="true" applyAlignment="false" applyProtection="false">
      <alignment horizontal="general" vertical="bottom" textRotation="0" wrapText="false" indent="0" shrinkToFit="false"/>
      <protection locked="true" hidden="false"/>
    </xf>
    <xf numFmtId="167" fontId="8" fillId="4"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9" fontId="9" fillId="3"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7030A0"/>
      <rgbColor rgb="FFFFF2CC"/>
      <rgbColor rgb="FFD6E4F0"/>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E2EFDA"/>
      <rgbColor rgb="FFFFFF99"/>
      <rgbColor rgb="FF99CCFF"/>
      <rgbColor rgb="FFFF99CC"/>
      <rgbColor rgb="FFCC99FF"/>
      <rgbColor rgb="FFFFCC99"/>
      <rgbColor rgb="FF2E75B6"/>
      <rgbColor rgb="FF33CCCC"/>
      <rgbColor rgb="FF99CC00"/>
      <rgbColor rgb="FFFFC000"/>
      <rgbColor rgb="FFFF9900"/>
      <rgbColor rgb="FFFF6600"/>
      <rgbColor rgb="FF4F81BD"/>
      <rgbColor rgb="FF878787"/>
      <rgbColor rgb="FF002060"/>
      <rgbColor rgb="FF00B050"/>
      <rgbColor rgb="FF003300"/>
      <rgbColor rgb="FF333300"/>
      <rgbColor rgb="FF993300"/>
      <rgbColor rgb="FFC0504D"/>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XoL vs Quota Share: Premium &amp; Ceded Loss (¥B)</a:t>
            </a:r>
          </a:p>
        </c:rich>
      </c:tx>
      <c:overlay val="0"/>
      <c:spPr>
        <a:noFill/>
        <a:ln w="0">
          <a:noFill/>
        </a:ln>
      </c:spPr>
    </c:title>
    <c:autoTitleDeleted val="0"/>
    <c:plotArea>
      <c:barChart>
        <c:barDir val="col"/>
        <c:grouping val="clustered"/>
        <c:varyColors val="0"/>
        <c:ser>
          <c:idx val="0"/>
          <c:order val="0"/>
          <c:tx>
            <c:strRef>
              <c:f>Dashboard!B4</c:f>
              <c:strCache>
                <c:ptCount val="1"/>
                <c:pt idx="0">
                  <c:v>XoL Program</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Dashboard!$A$5:$A$6</c:f>
              <c:strCache>
                <c:ptCount val="2"/>
                <c:pt idx="0">
                  <c:v>Total Premium (¥B)</c:v>
                </c:pt>
                <c:pt idx="1">
                  <c:v>Avg Ceded Loss (¥B)</c:v>
                </c:pt>
              </c:strCache>
            </c:strRef>
          </c:cat>
          <c:val>
            <c:numRef>
              <c:f>Dashboard!$B$5:$B$6</c:f>
              <c:numCache>
                <c:formatCode>#,##0.0</c:formatCode>
                <c:ptCount val="2"/>
                <c:pt idx="0">
                  <c:v>73.8</c:v>
                </c:pt>
                <c:pt idx="1">
                  <c:v>54.6666666666667</c:v>
                </c:pt>
              </c:numCache>
            </c:numRef>
          </c:val>
        </c:ser>
        <c:ser>
          <c:idx val="1"/>
          <c:order val="1"/>
          <c:tx>
            <c:strRef>
              <c:f>Dashboard!C4</c:f>
              <c:strCache>
                <c:ptCount val="1"/>
                <c:pt idx="0">
                  <c:v>Quota Share 30%</c:v>
                </c:pt>
              </c:strCache>
            </c:strRef>
          </c:tx>
          <c:spPr>
            <a:solidFill>
              <a:srgbClr val="c0504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Dashboard!$A$5:$A$6</c:f>
              <c:strCache>
                <c:ptCount val="2"/>
                <c:pt idx="0">
                  <c:v>Total Premium (¥B)</c:v>
                </c:pt>
                <c:pt idx="1">
                  <c:v>Avg Ceded Loss (¥B)</c:v>
                </c:pt>
              </c:strCache>
            </c:strRef>
          </c:cat>
          <c:val>
            <c:numRef>
              <c:f>Dashboard!$C$5:$C$6</c:f>
              <c:numCache>
                <c:formatCode>#,##0.0</c:formatCode>
                <c:ptCount val="2"/>
                <c:pt idx="0">
                  <c:v>56.6865</c:v>
                </c:pt>
                <c:pt idx="1">
                  <c:v>41.99</c:v>
                </c:pt>
              </c:numCache>
            </c:numRef>
          </c:val>
        </c:ser>
        <c:gapWidth val="150"/>
        <c:overlap val="0"/>
        <c:axId val="80094118"/>
        <c:axId val="72586882"/>
      </c:barChart>
      <c:catAx>
        <c:axId val="8009411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2586882"/>
        <c:crosses val="autoZero"/>
        <c:auto val="1"/>
        <c:lblAlgn val="ctr"/>
        <c:lblOffset val="100"/>
        <c:noMultiLvlLbl val="0"/>
      </c:catAx>
      <c:valAx>
        <c:axId val="7258688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Billion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094118"/>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Tail Risk: Maximum Cedent Retention by Structure (¥B)</a:t>
            </a:r>
          </a:p>
        </c:rich>
      </c:tx>
      <c:overlay val="0"/>
      <c:spPr>
        <a:noFill/>
        <a:ln w="0">
          <a:noFill/>
        </a:ln>
      </c:spPr>
    </c:title>
    <c:autoTitleDeleted val="0"/>
    <c:plotArea>
      <c:barChart>
        <c:barDir val="col"/>
        <c:grouping val="clustered"/>
        <c:varyColors val="0"/>
        <c:ser>
          <c:idx val="0"/>
          <c:order val="0"/>
          <c:tx>
            <c:strRef>
              <c:f>Dashboard!B30</c:f>
              <c:strCache>
                <c:ptCount val="1"/>
                <c:pt idx="0">
                  <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Dashboard!$A$31:$A$32</c:f>
              <c:strCache>
                <c:ptCount val="2"/>
                <c:pt idx="0">
                  <c:v>XoL Program</c:v>
                </c:pt>
                <c:pt idx="1">
                  <c:v>Quota Share 30%</c:v>
                </c:pt>
              </c:strCache>
            </c:strRef>
          </c:cat>
          <c:val>
            <c:numRef>
              <c:f>Dashboard!$B$31:$B$32</c:f>
              <c:numCache>
                <c:formatCode>#,##0.0</c:formatCode>
                <c:ptCount val="2"/>
                <c:pt idx="0">
                  <c:v>770</c:v>
                </c:pt>
                <c:pt idx="1">
                  <c:v>0</c:v>
                </c:pt>
              </c:numCache>
            </c:numRef>
          </c:val>
        </c:ser>
        <c:gapWidth val="150"/>
        <c:overlap val="0"/>
        <c:axId val="63701475"/>
        <c:axId val="98885951"/>
      </c:barChart>
      <c:catAx>
        <c:axId val="6370147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8885951"/>
        <c:crosses val="autoZero"/>
        <c:auto val="1"/>
        <c:lblAlgn val="ctr"/>
        <c:lblOffset val="100"/>
        <c:noMultiLvlLbl val="0"/>
      </c:catAx>
      <c:valAx>
        <c:axId val="98885951"/>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Billion</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370147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xdr:row>
      <xdr:rowOff>160920</xdr:rowOff>
    </xdr:from>
    <xdr:to>
      <xdr:col>6</xdr:col>
      <xdr:colOff>471240</xdr:colOff>
      <xdr:row>35</xdr:row>
      <xdr:rowOff>56880</xdr:rowOff>
    </xdr:to>
    <xdr:graphicFrame>
      <xdr:nvGraphicFramePr>
        <xdr:cNvPr id="0" name="Chart 1"/>
        <xdr:cNvGraphicFramePr/>
      </xdr:nvGraphicFramePr>
      <xdr:xfrm>
        <a:off x="0" y="1714680"/>
        <a:ext cx="7919640" cy="50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25</xdr:row>
      <xdr:rowOff>160560</xdr:rowOff>
    </xdr:from>
    <xdr:to>
      <xdr:col>6</xdr:col>
      <xdr:colOff>471240</xdr:colOff>
      <xdr:row>52</xdr:row>
      <xdr:rowOff>56520</xdr:rowOff>
    </xdr:to>
    <xdr:graphicFrame>
      <xdr:nvGraphicFramePr>
        <xdr:cNvPr id="1" name="Chart 2"/>
        <xdr:cNvGraphicFramePr/>
      </xdr:nvGraphicFramePr>
      <xdr:xfrm>
        <a:off x="0" y="4952880"/>
        <a:ext cx="7919640" cy="503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9"/>
    <pageSetUpPr fitToPage="false"/>
  </sheetPr>
  <dimension ref="A1:D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5"/>
    <col collapsed="false" customWidth="true" hidden="false" outlineLevel="0" max="2" min="2" style="0" width="18"/>
    <col collapsed="false" customWidth="true" hidden="false" outlineLevel="0" max="3" min="3" style="0" width="15"/>
    <col collapsed="false" customWidth="true" hidden="false" outlineLevel="0" max="4" min="4" style="0" width="40"/>
  </cols>
  <sheetData>
    <row r="1" customFormat="false" ht="17.35" hidden="false" customHeight="false" outlineLevel="0" collapsed="false">
      <c r="A1" s="1" t="s">
        <v>0</v>
      </c>
      <c r="B1" s="1"/>
      <c r="C1" s="1"/>
      <c r="D1" s="1"/>
    </row>
    <row r="2" customFormat="false" ht="15" hidden="false" customHeight="false" outlineLevel="0" collapsed="false">
      <c r="A2" s="2" t="s">
        <v>1</v>
      </c>
      <c r="B2" s="2"/>
      <c r="C2" s="2"/>
      <c r="D2" s="2"/>
    </row>
    <row r="4" customFormat="false" ht="15" hidden="false" customHeight="false" outlineLevel="0" collapsed="false">
      <c r="A4" s="3" t="s">
        <v>2</v>
      </c>
      <c r="B4" s="3"/>
      <c r="C4" s="3"/>
      <c r="D4" s="3"/>
    </row>
    <row r="5" customFormat="false" ht="15" hidden="false" customHeight="false" outlineLevel="0" collapsed="false">
      <c r="A5" s="4" t="s">
        <v>3</v>
      </c>
      <c r="B5" s="4" t="s">
        <v>4</v>
      </c>
      <c r="C5" s="4" t="s">
        <v>5</v>
      </c>
      <c r="D5" s="4" t="s">
        <v>6</v>
      </c>
    </row>
    <row r="6" customFormat="false" ht="15" hidden="false" customHeight="false" outlineLevel="0" collapsed="false">
      <c r="A6" s="5" t="s">
        <v>7</v>
      </c>
      <c r="B6" s="6" t="n">
        <v>10</v>
      </c>
      <c r="C6" s="6" t="n">
        <v>20</v>
      </c>
      <c r="D6" s="7" t="s">
        <v>8</v>
      </c>
    </row>
    <row r="7" customFormat="false" ht="15" hidden="false" customHeight="false" outlineLevel="0" collapsed="false">
      <c r="A7" s="5" t="s">
        <v>9</v>
      </c>
      <c r="B7" s="6" t="n">
        <v>30</v>
      </c>
      <c r="C7" s="6" t="n">
        <v>30</v>
      </c>
      <c r="D7" s="7" t="s">
        <v>10</v>
      </c>
    </row>
    <row r="8" customFormat="false" ht="15" hidden="false" customHeight="false" outlineLevel="0" collapsed="false">
      <c r="A8" s="5" t="s">
        <v>11</v>
      </c>
      <c r="B8" s="6" t="n">
        <v>60</v>
      </c>
      <c r="C8" s="6" t="n">
        <v>40</v>
      </c>
      <c r="D8" s="7" t="s">
        <v>12</v>
      </c>
    </row>
    <row r="9" customFormat="false" ht="15" hidden="false" customHeight="false" outlineLevel="0" collapsed="false">
      <c r="A9" s="5" t="s">
        <v>13</v>
      </c>
      <c r="B9" s="6" t="n">
        <v>100</v>
      </c>
      <c r="C9" s="6" t="n">
        <v>50</v>
      </c>
      <c r="D9" s="7" t="s">
        <v>14</v>
      </c>
    </row>
    <row r="12" customFormat="false" ht="15" hidden="false" customHeight="false" outlineLevel="0" collapsed="false">
      <c r="A12" s="8" t="s">
        <v>15</v>
      </c>
    </row>
    <row r="13" customFormat="false" ht="15" hidden="false" customHeight="false" outlineLevel="0" collapsed="false">
      <c r="A13" s="4" t="s">
        <v>16</v>
      </c>
      <c r="B13" s="4" t="s">
        <v>17</v>
      </c>
      <c r="C13" s="4" t="s">
        <v>18</v>
      </c>
      <c r="D13" s="4" t="s">
        <v>6</v>
      </c>
    </row>
    <row r="14" customFormat="false" ht="15" hidden="false" customHeight="false" outlineLevel="0" collapsed="false">
      <c r="A14" s="5" t="s">
        <v>19</v>
      </c>
      <c r="B14" s="9" t="n">
        <v>0.3</v>
      </c>
      <c r="C14" s="10" t="s">
        <v>20</v>
      </c>
      <c r="D14" s="7" t="s">
        <v>21</v>
      </c>
    </row>
    <row r="15" customFormat="false" ht="15" hidden="false" customHeight="false" outlineLevel="0" collapsed="false">
      <c r="A15" s="5" t="s">
        <v>22</v>
      </c>
      <c r="B15" s="9" t="n">
        <v>0.25</v>
      </c>
      <c r="C15" s="10" t="s">
        <v>20</v>
      </c>
      <c r="D15" s="7" t="s">
        <v>23</v>
      </c>
    </row>
    <row r="18" customFormat="false" ht="15" hidden="false" customHeight="false" outlineLevel="0" collapsed="false">
      <c r="A18" s="8" t="s">
        <v>24</v>
      </c>
    </row>
    <row r="19" customFormat="false" ht="15" hidden="false" customHeight="false" outlineLevel="0" collapsed="false">
      <c r="A19" s="4" t="s">
        <v>16</v>
      </c>
      <c r="B19" s="4" t="s">
        <v>17</v>
      </c>
      <c r="C19" s="4" t="s">
        <v>18</v>
      </c>
      <c r="D19" s="4" t="s">
        <v>6</v>
      </c>
    </row>
    <row r="20" customFormat="false" ht="15" hidden="false" customHeight="false" outlineLevel="0" collapsed="false">
      <c r="A20" s="5" t="s">
        <v>25</v>
      </c>
      <c r="B20" s="9" t="n">
        <v>0.35</v>
      </c>
      <c r="C20" s="10" t="s">
        <v>26</v>
      </c>
      <c r="D20" s="7" t="s">
        <v>27</v>
      </c>
    </row>
    <row r="21" customFormat="false" ht="15" hidden="false" customHeight="false" outlineLevel="0" collapsed="false">
      <c r="A21" s="5" t="s">
        <v>28</v>
      </c>
      <c r="B21" s="9" t="n">
        <v>0.1</v>
      </c>
      <c r="C21" s="10" t="s">
        <v>20</v>
      </c>
      <c r="D21" s="7" t="s">
        <v>29</v>
      </c>
    </row>
    <row r="22" customFormat="false" ht="15" hidden="false" customHeight="false" outlineLevel="0" collapsed="false">
      <c r="A22" s="5" t="s">
        <v>30</v>
      </c>
      <c r="B22" s="6" t="n">
        <v>10000</v>
      </c>
      <c r="C22" s="10" t="s">
        <v>31</v>
      </c>
      <c r="D22" s="7" t="s">
        <v>32</v>
      </c>
    </row>
  </sheetData>
  <mergeCells count="3">
    <mergeCell ref="A1:D1"/>
    <mergeCell ref="A2:D2"/>
    <mergeCell ref="A4:D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20"/>
    <col collapsed="false" customWidth="true" hidden="false" outlineLevel="0" max="7" min="3" style="0" width="16"/>
  </cols>
  <sheetData>
    <row r="1" customFormat="false" ht="17.35" hidden="false" customHeight="false" outlineLevel="0" collapsed="false">
      <c r="A1" s="1" t="s">
        <v>33</v>
      </c>
      <c r="B1" s="1"/>
      <c r="C1" s="1"/>
      <c r="D1" s="1"/>
      <c r="E1" s="1"/>
      <c r="F1" s="1"/>
      <c r="G1" s="1"/>
    </row>
    <row r="2" customFormat="false" ht="15" hidden="false" customHeight="false" outlineLevel="0" collapsed="false">
      <c r="A2" s="2" t="s">
        <v>34</v>
      </c>
      <c r="B2" s="2"/>
      <c r="C2" s="2"/>
      <c r="D2" s="2"/>
      <c r="E2" s="2"/>
      <c r="F2" s="2"/>
      <c r="G2" s="2"/>
    </row>
    <row r="4" customFormat="false" ht="26.85" hidden="false" customHeight="false" outlineLevel="0" collapsed="false">
      <c r="A4" s="4" t="s">
        <v>35</v>
      </c>
      <c r="B4" s="4" t="s">
        <v>36</v>
      </c>
      <c r="C4" s="4" t="s">
        <v>37</v>
      </c>
      <c r="D4" s="4" t="s">
        <v>38</v>
      </c>
      <c r="E4" s="4" t="s">
        <v>39</v>
      </c>
      <c r="F4" s="4" t="s">
        <v>40</v>
      </c>
      <c r="G4" s="4" t="s">
        <v>41</v>
      </c>
    </row>
    <row r="5" customFormat="false" ht="15" hidden="false" customHeight="false" outlineLevel="0" collapsed="false">
      <c r="A5" s="10" t="s">
        <v>42</v>
      </c>
      <c r="B5" s="6" t="n">
        <v>450</v>
      </c>
      <c r="C5" s="10" t="s">
        <v>43</v>
      </c>
      <c r="D5" s="10" t="s">
        <v>44</v>
      </c>
      <c r="E5" s="9" t="n">
        <v>0.05</v>
      </c>
      <c r="F5" s="9" t="n">
        <v>0.03</v>
      </c>
      <c r="G5" s="11" t="n">
        <f aca="false">B5/B21</f>
        <v>0.225</v>
      </c>
    </row>
    <row r="6" customFormat="false" ht="15" hidden="false" customHeight="false" outlineLevel="0" collapsed="false">
      <c r="A6" s="10" t="s">
        <v>45</v>
      </c>
      <c r="B6" s="6" t="n">
        <v>180</v>
      </c>
      <c r="C6" s="10" t="s">
        <v>43</v>
      </c>
      <c r="D6" s="10" t="s">
        <v>46</v>
      </c>
      <c r="E6" s="9" t="n">
        <v>0.05</v>
      </c>
      <c r="F6" s="9" t="n">
        <v>0.03</v>
      </c>
      <c r="G6" s="11" t="n">
        <f aca="false">B6/B21</f>
        <v>0.09</v>
      </c>
    </row>
    <row r="7" customFormat="false" ht="15" hidden="false" customHeight="false" outlineLevel="0" collapsed="false">
      <c r="A7" s="10" t="s">
        <v>47</v>
      </c>
      <c r="B7" s="6" t="n">
        <v>200</v>
      </c>
      <c r="C7" s="10" t="s">
        <v>43</v>
      </c>
      <c r="D7" s="10" t="s">
        <v>44</v>
      </c>
      <c r="E7" s="9" t="n">
        <v>0.05</v>
      </c>
      <c r="F7" s="9" t="n">
        <v>0.03</v>
      </c>
      <c r="G7" s="11" t="n">
        <f aca="false">B7/B21</f>
        <v>0.1</v>
      </c>
    </row>
    <row r="8" customFormat="false" ht="15" hidden="false" customHeight="false" outlineLevel="0" collapsed="false">
      <c r="A8" s="10" t="s">
        <v>48</v>
      </c>
      <c r="B8" s="6" t="n">
        <v>160</v>
      </c>
      <c r="C8" s="10" t="s">
        <v>49</v>
      </c>
      <c r="D8" s="10" t="s">
        <v>50</v>
      </c>
      <c r="E8" s="9" t="n">
        <v>0.05</v>
      </c>
      <c r="F8" s="9" t="n">
        <v>0.03</v>
      </c>
      <c r="G8" s="11" t="n">
        <f aca="false">B8/B21</f>
        <v>0.08</v>
      </c>
    </row>
    <row r="9" customFormat="false" ht="15" hidden="false" customHeight="false" outlineLevel="0" collapsed="false">
      <c r="A9" s="10" t="s">
        <v>51</v>
      </c>
      <c r="B9" s="6" t="n">
        <v>90</v>
      </c>
      <c r="C9" s="10" t="s">
        <v>43</v>
      </c>
      <c r="D9" s="10" t="s">
        <v>46</v>
      </c>
      <c r="E9" s="9" t="n">
        <v>0.05</v>
      </c>
      <c r="F9" s="9" t="n">
        <v>0.04</v>
      </c>
      <c r="G9" s="11" t="n">
        <f aca="false">B9/B21</f>
        <v>0.045</v>
      </c>
    </row>
    <row r="10" customFormat="false" ht="15" hidden="false" customHeight="false" outlineLevel="0" collapsed="false">
      <c r="A10" s="10" t="s">
        <v>52</v>
      </c>
      <c r="B10" s="6" t="n">
        <v>70</v>
      </c>
      <c r="C10" s="10" t="s">
        <v>53</v>
      </c>
      <c r="D10" s="10" t="s">
        <v>54</v>
      </c>
      <c r="E10" s="9" t="n">
        <v>0.03</v>
      </c>
      <c r="F10" s="9" t="n">
        <v>0.04</v>
      </c>
      <c r="G10" s="11" t="n">
        <f aca="false">B10/B21</f>
        <v>0.035</v>
      </c>
    </row>
    <row r="11" customFormat="false" ht="15" hidden="false" customHeight="false" outlineLevel="0" collapsed="false">
      <c r="A11" s="10" t="s">
        <v>55</v>
      </c>
      <c r="B11" s="6" t="n">
        <v>55</v>
      </c>
      <c r="C11" s="10" t="s">
        <v>43</v>
      </c>
      <c r="D11" s="10" t="s">
        <v>46</v>
      </c>
      <c r="E11" s="9" t="n">
        <v>0.07</v>
      </c>
      <c r="F11" s="9" t="n">
        <v>0.04</v>
      </c>
      <c r="G11" s="11" t="n">
        <f aca="false">B11/B21</f>
        <v>0.0275</v>
      </c>
    </row>
    <row r="12" customFormat="false" ht="15" hidden="false" customHeight="false" outlineLevel="0" collapsed="false">
      <c r="A12" s="10" t="s">
        <v>56</v>
      </c>
      <c r="B12" s="6" t="n">
        <v>85</v>
      </c>
      <c r="C12" s="10" t="s">
        <v>43</v>
      </c>
      <c r="D12" s="10" t="s">
        <v>44</v>
      </c>
      <c r="E12" s="9" t="n">
        <v>0.05</v>
      </c>
      <c r="F12" s="9" t="n">
        <v>0.03</v>
      </c>
      <c r="G12" s="11" t="n">
        <f aca="false">B12/B21</f>
        <v>0.0425</v>
      </c>
    </row>
    <row r="13" customFormat="false" ht="15" hidden="false" customHeight="false" outlineLevel="0" collapsed="false">
      <c r="A13" s="10" t="s">
        <v>57</v>
      </c>
      <c r="B13" s="6" t="n">
        <v>95</v>
      </c>
      <c r="C13" s="10" t="s">
        <v>58</v>
      </c>
      <c r="D13" s="10" t="s">
        <v>54</v>
      </c>
      <c r="E13" s="9" t="n">
        <v>0.05</v>
      </c>
      <c r="F13" s="9" t="n">
        <v>0.04</v>
      </c>
      <c r="G13" s="11" t="n">
        <f aca="false">B13/B21</f>
        <v>0.0475</v>
      </c>
    </row>
    <row r="14" customFormat="false" ht="15" hidden="false" customHeight="false" outlineLevel="0" collapsed="false">
      <c r="A14" s="10" t="s">
        <v>59</v>
      </c>
      <c r="B14" s="6" t="n">
        <v>100</v>
      </c>
      <c r="C14" s="10" t="s">
        <v>58</v>
      </c>
      <c r="D14" s="10" t="s">
        <v>54</v>
      </c>
      <c r="E14" s="9" t="n">
        <v>0.05</v>
      </c>
      <c r="F14" s="9" t="n">
        <v>0.03</v>
      </c>
      <c r="G14" s="11" t="n">
        <f aca="false">B14/B21</f>
        <v>0.05</v>
      </c>
    </row>
    <row r="15" customFormat="false" ht="15" hidden="false" customHeight="false" outlineLevel="0" collapsed="false">
      <c r="A15" s="10" t="s">
        <v>60</v>
      </c>
      <c r="B15" s="6" t="n">
        <v>75</v>
      </c>
      <c r="C15" s="10" t="s">
        <v>61</v>
      </c>
      <c r="D15" s="10" t="s">
        <v>50</v>
      </c>
      <c r="E15" s="9" t="n">
        <v>0.07</v>
      </c>
      <c r="F15" s="9" t="n">
        <v>0.04</v>
      </c>
      <c r="G15" s="11" t="n">
        <f aca="false">B15/B21</f>
        <v>0.0375</v>
      </c>
    </row>
    <row r="16" customFormat="false" ht="15" hidden="false" customHeight="false" outlineLevel="0" collapsed="false">
      <c r="A16" s="10" t="s">
        <v>62</v>
      </c>
      <c r="B16" s="6" t="n">
        <v>55</v>
      </c>
      <c r="C16" s="10" t="s">
        <v>43</v>
      </c>
      <c r="D16" s="10" t="s">
        <v>46</v>
      </c>
      <c r="E16" s="9" t="n">
        <v>0.05</v>
      </c>
      <c r="F16" s="9" t="n">
        <v>0.04</v>
      </c>
      <c r="G16" s="11" t="n">
        <f aca="false">B16/B21</f>
        <v>0.0275</v>
      </c>
    </row>
    <row r="17" customFormat="false" ht="15" hidden="false" customHeight="false" outlineLevel="0" collapsed="false">
      <c r="A17" s="10" t="s">
        <v>63</v>
      </c>
      <c r="B17" s="6" t="n">
        <v>35</v>
      </c>
      <c r="C17" s="10" t="s">
        <v>53</v>
      </c>
      <c r="D17" s="10" t="s">
        <v>64</v>
      </c>
      <c r="E17" s="9" t="n">
        <v>0.05</v>
      </c>
      <c r="F17" s="9" t="n">
        <v>0.04</v>
      </c>
      <c r="G17" s="11" t="n">
        <f aca="false">B17/B21</f>
        <v>0.0175</v>
      </c>
    </row>
    <row r="18" customFormat="false" ht="15" hidden="false" customHeight="false" outlineLevel="0" collapsed="false">
      <c r="A18" s="10" t="s">
        <v>65</v>
      </c>
      <c r="B18" s="6" t="n">
        <v>25</v>
      </c>
      <c r="C18" s="10" t="s">
        <v>53</v>
      </c>
      <c r="D18" s="10" t="s">
        <v>64</v>
      </c>
      <c r="E18" s="9" t="n">
        <v>0.07</v>
      </c>
      <c r="F18" s="9" t="n">
        <v>0.05</v>
      </c>
      <c r="G18" s="11" t="n">
        <f aca="false">B18/B21</f>
        <v>0.0125</v>
      </c>
    </row>
    <row r="19" customFormat="false" ht="15" hidden="false" customHeight="false" outlineLevel="0" collapsed="false">
      <c r="A19" s="10" t="s">
        <v>66</v>
      </c>
      <c r="B19" s="6" t="n">
        <v>20</v>
      </c>
      <c r="C19" s="10" t="s">
        <v>67</v>
      </c>
      <c r="D19" s="10" t="s">
        <v>68</v>
      </c>
      <c r="E19" s="9" t="n">
        <v>0.03</v>
      </c>
      <c r="F19" s="9" t="n">
        <v>0.06</v>
      </c>
      <c r="G19" s="11" t="n">
        <f aca="false">B19/B21</f>
        <v>0.01</v>
      </c>
    </row>
    <row r="20" customFormat="false" ht="15" hidden="false" customHeight="false" outlineLevel="0" collapsed="false">
      <c r="A20" s="10" t="s">
        <v>69</v>
      </c>
      <c r="B20" s="6" t="n">
        <v>305</v>
      </c>
      <c r="C20" s="10" t="s">
        <v>70</v>
      </c>
      <c r="D20" s="10" t="s">
        <v>70</v>
      </c>
      <c r="E20" s="9" t="n">
        <v>0.05</v>
      </c>
      <c r="F20" s="9" t="n">
        <v>0.04</v>
      </c>
      <c r="G20" s="11" t="n">
        <f aca="false">B20/B21</f>
        <v>0.1525</v>
      </c>
    </row>
    <row r="21" customFormat="false" ht="15" hidden="false" customHeight="false" outlineLevel="0" collapsed="false">
      <c r="A21" s="12" t="s">
        <v>71</v>
      </c>
      <c r="B21" s="13" t="n">
        <f aca="false">SUM(B5:B20)</f>
        <v>2000</v>
      </c>
      <c r="C21" s="14"/>
      <c r="D21" s="14"/>
      <c r="E21" s="14"/>
      <c r="F21" s="14"/>
      <c r="G21" s="15" t="n">
        <f aca="false">SUM(G5:G20)</f>
        <v>1</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32"/>
    <col collapsed="false" customWidth="true" hidden="false" outlineLevel="0" max="3" min="3" style="0" width="12"/>
    <col collapsed="false" customWidth="true" hidden="false" outlineLevel="0" max="6" min="4" style="0" width="18"/>
    <col collapsed="false" customWidth="true" hidden="false" outlineLevel="0" max="7" min="7" style="0" width="22"/>
  </cols>
  <sheetData>
    <row r="1" customFormat="false" ht="17.35" hidden="false" customHeight="false" outlineLevel="0" collapsed="false">
      <c r="A1" s="1" t="s">
        <v>72</v>
      </c>
      <c r="B1" s="1"/>
      <c r="C1" s="1"/>
      <c r="D1" s="1"/>
      <c r="E1" s="1"/>
      <c r="F1" s="1"/>
      <c r="G1" s="1"/>
    </row>
    <row r="2" customFormat="false" ht="15" hidden="false" customHeight="false" outlineLevel="0" collapsed="false">
      <c r="A2" s="2" t="s">
        <v>73</v>
      </c>
      <c r="B2" s="2"/>
      <c r="C2" s="2"/>
      <c r="D2" s="2"/>
      <c r="E2" s="2"/>
      <c r="F2" s="2"/>
      <c r="G2" s="2"/>
    </row>
    <row r="4" customFormat="false" ht="26.85" hidden="false" customHeight="false" outlineLevel="0" collapsed="false">
      <c r="A4" s="4" t="s">
        <v>74</v>
      </c>
      <c r="B4" s="4" t="s">
        <v>75</v>
      </c>
      <c r="C4" s="4" t="s">
        <v>76</v>
      </c>
      <c r="D4" s="4" t="s">
        <v>77</v>
      </c>
      <c r="E4" s="4" t="s">
        <v>78</v>
      </c>
      <c r="F4" s="4" t="s">
        <v>79</v>
      </c>
      <c r="G4" s="4" t="s">
        <v>80</v>
      </c>
    </row>
    <row r="5" customFormat="false" ht="29.85" hidden="false" customHeight="false" outlineLevel="0" collapsed="false">
      <c r="A5" s="16" t="n">
        <v>2011</v>
      </c>
      <c r="B5" s="17" t="s">
        <v>81</v>
      </c>
      <c r="C5" s="16" t="s">
        <v>82</v>
      </c>
      <c r="D5" s="16" t="s">
        <v>83</v>
      </c>
      <c r="E5" s="18" t="n">
        <v>280</v>
      </c>
      <c r="F5" s="19" t="n">
        <f aca="false">E5*(1-0.05)</f>
        <v>266</v>
      </c>
      <c r="G5" s="16" t="s">
        <v>84</v>
      </c>
    </row>
    <row r="6" customFormat="false" ht="15" hidden="false" customHeight="false" outlineLevel="0" collapsed="false">
      <c r="A6" s="16" t="n">
        <v>2018</v>
      </c>
      <c r="B6" s="17" t="s">
        <v>85</v>
      </c>
      <c r="C6" s="16" t="s">
        <v>86</v>
      </c>
      <c r="D6" s="16" t="s">
        <v>87</v>
      </c>
      <c r="E6" s="18" t="n">
        <v>95</v>
      </c>
      <c r="F6" s="19" t="n">
        <f aca="false">E6*(1-0.05)</f>
        <v>90.25</v>
      </c>
      <c r="G6" s="16" t="s">
        <v>88</v>
      </c>
    </row>
    <row r="7" customFormat="false" ht="15" hidden="false" customHeight="false" outlineLevel="0" collapsed="false">
      <c r="A7" s="16" t="n">
        <v>2019</v>
      </c>
      <c r="B7" s="17" t="s">
        <v>89</v>
      </c>
      <c r="C7" s="16" t="s">
        <v>86</v>
      </c>
      <c r="D7" s="16" t="s">
        <v>87</v>
      </c>
      <c r="E7" s="18" t="n">
        <v>75</v>
      </c>
      <c r="F7" s="19" t="n">
        <f aca="false">E7*(1-0.05)</f>
        <v>71.25</v>
      </c>
      <c r="G7" s="16" t="s">
        <v>90</v>
      </c>
    </row>
    <row r="8" customFormat="false" ht="15" hidden="false" customHeight="false" outlineLevel="0" collapsed="false">
      <c r="A8" s="16" t="n">
        <v>2016</v>
      </c>
      <c r="B8" s="17" t="s">
        <v>91</v>
      </c>
      <c r="C8" s="16" t="s">
        <v>82</v>
      </c>
      <c r="D8" s="16" t="s">
        <v>92</v>
      </c>
      <c r="E8" s="18" t="n">
        <v>35</v>
      </c>
      <c r="F8" s="19" t="n">
        <f aca="false">E8*(1-0.05)</f>
        <v>33.25</v>
      </c>
      <c r="G8" s="16" t="s">
        <v>93</v>
      </c>
    </row>
    <row r="9" customFormat="false" ht="15" hidden="false" customHeight="false" outlineLevel="0" collapsed="false">
      <c r="A9" s="16" t="n">
        <v>2018</v>
      </c>
      <c r="B9" s="17" t="s">
        <v>94</v>
      </c>
      <c r="C9" s="16" t="s">
        <v>82</v>
      </c>
      <c r="D9" s="16" t="s">
        <v>95</v>
      </c>
      <c r="E9" s="18" t="n">
        <v>12</v>
      </c>
      <c r="F9" s="19" t="n">
        <f aca="false">E9*(1-0.05)</f>
        <v>11.4</v>
      </c>
      <c r="G9" s="16" t="s">
        <v>96</v>
      </c>
    </row>
    <row r="10" customFormat="false" ht="15" hidden="false" customHeight="false" outlineLevel="0" collapsed="false">
      <c r="A10" s="16" t="n">
        <v>2004</v>
      </c>
      <c r="B10" s="17" t="s">
        <v>97</v>
      </c>
      <c r="C10" s="16" t="s">
        <v>86</v>
      </c>
      <c r="D10" s="16" t="s">
        <v>98</v>
      </c>
      <c r="E10" s="18" t="n">
        <v>18</v>
      </c>
      <c r="F10" s="19" t="n">
        <f aca="false">E10*(1-0.05)</f>
        <v>17.1</v>
      </c>
      <c r="G10" s="16" t="s">
        <v>99</v>
      </c>
    </row>
    <row r="11" customFormat="false" ht="15" hidden="false" customHeight="false" outlineLevel="0" collapsed="false">
      <c r="A11" s="16" t="n">
        <v>1995</v>
      </c>
      <c r="B11" s="17" t="s">
        <v>100</v>
      </c>
      <c r="C11" s="16" t="s">
        <v>82</v>
      </c>
      <c r="D11" s="16" t="s">
        <v>92</v>
      </c>
      <c r="E11" s="18" t="n">
        <v>200</v>
      </c>
      <c r="F11" s="19" t="n">
        <f aca="false">E11*(1-0.05)</f>
        <v>190</v>
      </c>
      <c r="G11" s="16" t="s">
        <v>101</v>
      </c>
    </row>
    <row r="12" customFormat="false" ht="15" hidden="false" customHeight="false" outlineLevel="0" collapsed="false">
      <c r="A12" s="16" t="s">
        <v>102</v>
      </c>
      <c r="B12" s="17" t="s">
        <v>103</v>
      </c>
      <c r="C12" s="16" t="s">
        <v>82</v>
      </c>
      <c r="D12" s="16" t="s">
        <v>104</v>
      </c>
      <c r="E12" s="18" t="n">
        <v>500</v>
      </c>
      <c r="F12" s="19" t="n">
        <f aca="false">E12*(1-0.05)</f>
        <v>475</v>
      </c>
      <c r="G12" s="16" t="s">
        <v>105</v>
      </c>
    </row>
    <row r="13" customFormat="false" ht="15" hidden="false" customHeight="false" outlineLevel="0" collapsed="false">
      <c r="A13" s="16" t="s">
        <v>106</v>
      </c>
      <c r="B13" s="17" t="s">
        <v>107</v>
      </c>
      <c r="C13" s="16" t="s">
        <v>82</v>
      </c>
      <c r="D13" s="16" t="s">
        <v>92</v>
      </c>
      <c r="E13" s="18" t="n">
        <v>350</v>
      </c>
      <c r="F13" s="19" t="n">
        <f aca="false">E13*(1-0.05)</f>
        <v>332.5</v>
      </c>
      <c r="G13" s="16" t="s">
        <v>101</v>
      </c>
    </row>
    <row r="14" customFormat="false" ht="15" hidden="false" customHeight="false" outlineLevel="0" collapsed="false">
      <c r="A14" s="16" t="s">
        <v>108</v>
      </c>
      <c r="B14" s="17" t="s">
        <v>109</v>
      </c>
      <c r="C14" s="16" t="s">
        <v>86</v>
      </c>
      <c r="D14" s="16" t="s">
        <v>110</v>
      </c>
      <c r="E14" s="18" t="n">
        <v>150</v>
      </c>
      <c r="F14" s="19" t="n">
        <f aca="false">E14*(1-0.05)</f>
        <v>142.5</v>
      </c>
      <c r="G14" s="16" t="s">
        <v>111</v>
      </c>
    </row>
    <row r="15" customFormat="false" ht="15" hidden="false" customHeight="false" outlineLevel="0" collapsed="false">
      <c r="A15" s="16" t="s">
        <v>112</v>
      </c>
      <c r="B15" s="17" t="s">
        <v>113</v>
      </c>
      <c r="C15" s="16" t="s">
        <v>86</v>
      </c>
      <c r="D15" s="16" t="s">
        <v>114</v>
      </c>
      <c r="E15" s="18" t="n">
        <v>45</v>
      </c>
      <c r="F15" s="19" t="n">
        <f aca="false">E15*(1-0.05)</f>
        <v>42.75</v>
      </c>
      <c r="G15" s="16" t="s">
        <v>115</v>
      </c>
    </row>
    <row r="16" customFormat="false" ht="15" hidden="false" customHeight="false" outlineLevel="0" collapsed="false">
      <c r="A16" s="16" t="s">
        <v>116</v>
      </c>
      <c r="B16" s="17" t="s">
        <v>117</v>
      </c>
      <c r="C16" s="16" t="s">
        <v>82</v>
      </c>
      <c r="D16" s="16" t="s">
        <v>118</v>
      </c>
      <c r="E16" s="18" t="n">
        <v>8</v>
      </c>
      <c r="F16" s="19" t="n">
        <f aca="false">E16*(1-0.05)</f>
        <v>7.6</v>
      </c>
      <c r="G16" s="16" t="s">
        <v>119</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50"/>
    <pageSetUpPr fitToPage="false"/>
  </sheetPr>
  <dimension ref="A1:H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8" min="2" style="0" width="18"/>
  </cols>
  <sheetData>
    <row r="1" customFormat="false" ht="17.35" hidden="false" customHeight="false" outlineLevel="0" collapsed="false">
      <c r="A1" s="1" t="s">
        <v>120</v>
      </c>
      <c r="B1" s="1"/>
      <c r="C1" s="1"/>
      <c r="D1" s="1"/>
      <c r="E1" s="1"/>
      <c r="F1" s="1"/>
      <c r="G1" s="1"/>
      <c r="H1" s="1"/>
    </row>
    <row r="2" customFormat="false" ht="15" hidden="false" customHeight="false" outlineLevel="0" collapsed="false">
      <c r="A2" s="2" t="s">
        <v>121</v>
      </c>
      <c r="B2" s="2"/>
      <c r="C2" s="2"/>
      <c r="D2" s="2"/>
      <c r="E2" s="2"/>
      <c r="F2" s="2"/>
      <c r="G2" s="2"/>
      <c r="H2" s="2"/>
    </row>
    <row r="4" customFormat="false" ht="15" hidden="false" customHeight="false" outlineLevel="0" collapsed="false">
      <c r="A4" s="3" t="s">
        <v>122</v>
      </c>
      <c r="B4" s="3"/>
      <c r="C4" s="3"/>
      <c r="D4" s="3"/>
      <c r="E4" s="3"/>
      <c r="F4" s="3"/>
      <c r="G4" s="3"/>
      <c r="H4" s="3"/>
    </row>
    <row r="5" customFormat="false" ht="26.85" hidden="false" customHeight="false" outlineLevel="0" collapsed="false">
      <c r="A5" s="4" t="s">
        <v>75</v>
      </c>
      <c r="B5" s="4" t="s">
        <v>123</v>
      </c>
      <c r="C5" s="4" t="s">
        <v>124</v>
      </c>
      <c r="D5" s="4" t="s">
        <v>125</v>
      </c>
      <c r="E5" s="4" t="s">
        <v>126</v>
      </c>
      <c r="F5" s="4" t="s">
        <v>127</v>
      </c>
      <c r="G5" s="4" t="s">
        <v>128</v>
      </c>
      <c r="H5" s="4" t="s">
        <v>129</v>
      </c>
    </row>
    <row r="6" customFormat="false" ht="15" hidden="false" customHeight="false" outlineLevel="0" collapsed="false">
      <c r="A6" s="20" t="str">
        <f aca="false">'Loss Scenarios'!B5</f>
        <v>Tohoku Earthquake &amp; Tsunami (東日本大震災)</v>
      </c>
      <c r="B6" s="21" t="n">
        <f aca="false">'Loss Scenarios'!F5</f>
        <v>266</v>
      </c>
      <c r="C6" s="22" t="n">
        <f aca="false">MIN(B6, Assumptions!B6)</f>
        <v>10</v>
      </c>
      <c r="D6" s="23" t="n">
        <f aca="false">MIN(MAX(B6-Assumptions!B6, 0), Assumptions!C6)</f>
        <v>20</v>
      </c>
      <c r="E6" s="22" t="n">
        <f aca="false">B6-C6-D6-F6-H6</f>
        <v>166</v>
      </c>
      <c r="F6" s="23" t="n">
        <f aca="false">MIN(MAX(B6-Assumptions!B7, 0), Assumptions!C7)</f>
        <v>30</v>
      </c>
      <c r="G6" s="22" t="n">
        <f aca="false">B6-D6-F6-H6</f>
        <v>176</v>
      </c>
      <c r="H6" s="23" t="n">
        <f aca="false">MIN(MAX(B6-Assumptions!B8, 0), Assumptions!C8)</f>
        <v>40</v>
      </c>
    </row>
    <row r="7" customFormat="false" ht="15" hidden="false" customHeight="false" outlineLevel="0" collapsed="false">
      <c r="A7" s="20" t="str">
        <f aca="false">'Loss Scenarios'!B6</f>
        <v>Typhoon Jebi (台風21号)</v>
      </c>
      <c r="B7" s="21" t="n">
        <f aca="false">'Loss Scenarios'!F6</f>
        <v>90.25</v>
      </c>
      <c r="C7" s="22" t="n">
        <f aca="false">MIN(B7, Assumptions!B6)</f>
        <v>10</v>
      </c>
      <c r="D7" s="23" t="n">
        <f aca="false">MIN(MAX(B7-Assumptions!B6, 0), Assumptions!C6)</f>
        <v>20</v>
      </c>
      <c r="E7" s="22" t="n">
        <f aca="false">B7-C7-D7-F7-H7</f>
        <v>0</v>
      </c>
      <c r="F7" s="23" t="n">
        <f aca="false">MIN(MAX(B7-Assumptions!B7, 0), Assumptions!C7)</f>
        <v>30</v>
      </c>
      <c r="G7" s="22" t="n">
        <f aca="false">B7-D7-F7-H7</f>
        <v>10</v>
      </c>
      <c r="H7" s="23" t="n">
        <f aca="false">MIN(MAX(B7-Assumptions!B8, 0), Assumptions!C8)</f>
        <v>30.25</v>
      </c>
    </row>
    <row r="8" customFormat="false" ht="15" hidden="false" customHeight="false" outlineLevel="0" collapsed="false">
      <c r="A8" s="20" t="str">
        <f aca="false">'Loss Scenarios'!B7</f>
        <v>Typhoon Hagibis (台風19号)</v>
      </c>
      <c r="B8" s="21" t="n">
        <f aca="false">'Loss Scenarios'!F7</f>
        <v>71.25</v>
      </c>
      <c r="C8" s="22" t="n">
        <f aca="false">MIN(B8, Assumptions!B6)</f>
        <v>10</v>
      </c>
      <c r="D8" s="23" t="n">
        <f aca="false">MIN(MAX(B8-Assumptions!B6, 0), Assumptions!C6)</f>
        <v>20</v>
      </c>
      <c r="E8" s="22" t="n">
        <f aca="false">B8-C8-D8-F8-H8</f>
        <v>0</v>
      </c>
      <c r="F8" s="23" t="n">
        <f aca="false">MIN(MAX(B8-Assumptions!B7, 0), Assumptions!C7)</f>
        <v>30</v>
      </c>
      <c r="G8" s="22" t="n">
        <f aca="false">B8-D8-F8-H8</f>
        <v>10</v>
      </c>
      <c r="H8" s="23" t="n">
        <f aca="false">MIN(MAX(B8-Assumptions!B8, 0), Assumptions!C8)</f>
        <v>11.25</v>
      </c>
    </row>
    <row r="9" customFormat="false" ht="15" hidden="false" customHeight="false" outlineLevel="0" collapsed="false">
      <c r="A9" s="20" t="str">
        <f aca="false">'Loss Scenarios'!B8</f>
        <v>Kumamoto Earthquake (熊本地震)</v>
      </c>
      <c r="B9" s="21" t="n">
        <f aca="false">'Loss Scenarios'!F8</f>
        <v>33.25</v>
      </c>
      <c r="C9" s="22" t="n">
        <f aca="false">MIN(B9, Assumptions!B6)</f>
        <v>10</v>
      </c>
      <c r="D9" s="23" t="n">
        <f aca="false">MIN(MAX(B9-Assumptions!B6, 0), Assumptions!C6)</f>
        <v>20</v>
      </c>
      <c r="E9" s="22" t="n">
        <f aca="false">B9-C9-D9-F9-H9</f>
        <v>0</v>
      </c>
      <c r="F9" s="23" t="n">
        <f aca="false">MIN(MAX(B9-Assumptions!B7, 0), Assumptions!C7)</f>
        <v>3.25</v>
      </c>
      <c r="G9" s="22" t="n">
        <f aca="false">B9-D9-F9-H9</f>
        <v>10</v>
      </c>
      <c r="H9" s="23" t="n">
        <f aca="false">MIN(MAX(B9-Assumptions!B8, 0), Assumptions!C8)</f>
        <v>0</v>
      </c>
    </row>
    <row r="10" customFormat="false" ht="15" hidden="false" customHeight="false" outlineLevel="0" collapsed="false">
      <c r="A10" s="20" t="str">
        <f aca="false">'Loss Scenarios'!B9</f>
        <v>Osaka Earthquake (大阪北部地震)</v>
      </c>
      <c r="B10" s="21" t="n">
        <f aca="false">'Loss Scenarios'!F9</f>
        <v>11.4</v>
      </c>
      <c r="C10" s="22" t="n">
        <f aca="false">MIN(B10, Assumptions!B6)</f>
        <v>10</v>
      </c>
      <c r="D10" s="23" t="n">
        <f aca="false">MIN(MAX(B10-Assumptions!B6, 0), Assumptions!C6)</f>
        <v>1.4</v>
      </c>
      <c r="E10" s="22" t="n">
        <f aca="false">B10-C10-D10-F10-H10</f>
        <v>0</v>
      </c>
      <c r="F10" s="23" t="n">
        <f aca="false">MIN(MAX(B10-Assumptions!B7, 0), Assumptions!C7)</f>
        <v>0</v>
      </c>
      <c r="G10" s="22" t="n">
        <f aca="false">B10-D10-F10-H10</f>
        <v>10</v>
      </c>
      <c r="H10" s="23" t="n">
        <f aca="false">MIN(MAX(B10-Assumptions!B8, 0), Assumptions!C8)</f>
        <v>0</v>
      </c>
    </row>
    <row r="11" customFormat="false" ht="15" hidden="false" customHeight="false" outlineLevel="0" collapsed="false">
      <c r="A11" s="20" t="str">
        <f aca="false">'Loss Scenarios'!B10</f>
        <v>Typhoon Tokage (台風23号)</v>
      </c>
      <c r="B11" s="21" t="n">
        <f aca="false">'Loss Scenarios'!F10</f>
        <v>17.1</v>
      </c>
      <c r="C11" s="22" t="n">
        <f aca="false">MIN(B11, Assumptions!B6)</f>
        <v>10</v>
      </c>
      <c r="D11" s="23" t="n">
        <f aca="false">MIN(MAX(B11-Assumptions!B6, 0), Assumptions!C6)</f>
        <v>7.1</v>
      </c>
      <c r="E11" s="22" t="n">
        <f aca="false">B11-C11-D11-F11-H11</f>
        <v>0</v>
      </c>
      <c r="F11" s="23" t="n">
        <f aca="false">MIN(MAX(B11-Assumptions!B7, 0), Assumptions!C7)</f>
        <v>0</v>
      </c>
      <c r="G11" s="22" t="n">
        <f aca="false">B11-D11-F11-H11</f>
        <v>10</v>
      </c>
      <c r="H11" s="23" t="n">
        <f aca="false">MIN(MAX(B11-Assumptions!B8, 0), Assumptions!C8)</f>
        <v>0</v>
      </c>
    </row>
    <row r="12" customFormat="false" ht="15" hidden="false" customHeight="false" outlineLevel="0" collapsed="false">
      <c r="A12" s="20" t="str">
        <f aca="false">'Loss Scenarios'!B11</f>
        <v>Kobe Earthquake (阪神・淡路大震災)</v>
      </c>
      <c r="B12" s="21" t="n">
        <f aca="false">'Loss Scenarios'!F11</f>
        <v>190</v>
      </c>
      <c r="C12" s="22" t="n">
        <f aca="false">MIN(B12, Assumptions!B6)</f>
        <v>10</v>
      </c>
      <c r="D12" s="23" t="n">
        <f aca="false">MIN(MAX(B12-Assumptions!B6, 0), Assumptions!C6)</f>
        <v>20</v>
      </c>
      <c r="E12" s="22" t="n">
        <f aca="false">B12-C12-D12-F12-H12</f>
        <v>90</v>
      </c>
      <c r="F12" s="23" t="n">
        <f aca="false">MIN(MAX(B12-Assumptions!B7, 0), Assumptions!C7)</f>
        <v>30</v>
      </c>
      <c r="G12" s="22" t="n">
        <f aca="false">B12-D12-F12-H12</f>
        <v>100</v>
      </c>
      <c r="H12" s="23" t="n">
        <f aca="false">MIN(MAX(B12-Assumptions!B8, 0), Assumptions!C8)</f>
        <v>40</v>
      </c>
    </row>
    <row r="13" customFormat="false" ht="15" hidden="false" customHeight="false" outlineLevel="0" collapsed="false">
      <c r="A13" s="20" t="str">
        <f aca="false">'Loss Scenarios'!B12</f>
        <v>Nankai Trough Scenario (南海トラフ)</v>
      </c>
      <c r="B13" s="21" t="n">
        <f aca="false">'Loss Scenarios'!F12</f>
        <v>475</v>
      </c>
      <c r="C13" s="22" t="n">
        <f aca="false">MIN(B13, Assumptions!B6)</f>
        <v>10</v>
      </c>
      <c r="D13" s="23" t="n">
        <f aca="false">MIN(MAX(B13-Assumptions!B6, 0), Assumptions!C6)</f>
        <v>20</v>
      </c>
      <c r="E13" s="22" t="n">
        <f aca="false">B13-C13-D13-F13-H13</f>
        <v>375</v>
      </c>
      <c r="F13" s="23" t="n">
        <f aca="false">MIN(MAX(B13-Assumptions!B7, 0), Assumptions!C7)</f>
        <v>30</v>
      </c>
      <c r="G13" s="22" t="n">
        <f aca="false">B13-D13-F13-H13</f>
        <v>385</v>
      </c>
      <c r="H13" s="23" t="n">
        <f aca="false">MIN(MAX(B13-Assumptions!B8, 0), Assumptions!C8)</f>
        <v>40</v>
      </c>
    </row>
    <row r="14" customFormat="false" ht="15" hidden="false" customHeight="false" outlineLevel="0" collapsed="false">
      <c r="A14" s="20" t="str">
        <f aca="false">'Loss Scenarios'!B13</f>
        <v>Tokyo Inland EQ (首都直下地震)</v>
      </c>
      <c r="B14" s="21" t="n">
        <f aca="false">'Loss Scenarios'!F13</f>
        <v>332.5</v>
      </c>
      <c r="C14" s="22" t="n">
        <f aca="false">MIN(B14, Assumptions!B6)</f>
        <v>10</v>
      </c>
      <c r="D14" s="23" t="n">
        <f aca="false">MIN(MAX(B14-Assumptions!B6, 0), Assumptions!C6)</f>
        <v>20</v>
      </c>
      <c r="E14" s="22" t="n">
        <f aca="false">B14-C14-D14-F14-H14</f>
        <v>232.5</v>
      </c>
      <c r="F14" s="23" t="n">
        <f aca="false">MIN(MAX(B14-Assumptions!B7, 0), Assumptions!C7)</f>
        <v>30</v>
      </c>
      <c r="G14" s="22" t="n">
        <f aca="false">B14-D14-F14-H14</f>
        <v>242.5</v>
      </c>
      <c r="H14" s="23" t="n">
        <f aca="false">MIN(MAX(B14-Assumptions!B8, 0), Assumptions!C8)</f>
        <v>40</v>
      </c>
    </row>
    <row r="15" customFormat="false" ht="15" hidden="false" customHeight="false" outlineLevel="0" collapsed="false">
      <c r="A15" s="20" t="str">
        <f aca="false">'Loss Scenarios'!B14</f>
        <v>Super Typhoon Tokyo Direct Hit</v>
      </c>
      <c r="B15" s="21" t="n">
        <f aca="false">'Loss Scenarios'!F14</f>
        <v>142.5</v>
      </c>
      <c r="C15" s="22" t="n">
        <f aca="false">MIN(B15, Assumptions!B6)</f>
        <v>10</v>
      </c>
      <c r="D15" s="23" t="n">
        <f aca="false">MIN(MAX(B15-Assumptions!B6, 0), Assumptions!C6)</f>
        <v>20</v>
      </c>
      <c r="E15" s="22" t="n">
        <f aca="false">B15-C15-D15-F15-H15</f>
        <v>42.5</v>
      </c>
      <c r="F15" s="23" t="n">
        <f aca="false">MIN(MAX(B15-Assumptions!B7, 0), Assumptions!C7)</f>
        <v>30</v>
      </c>
      <c r="G15" s="22" t="n">
        <f aca="false">B15-D15-F15-H15</f>
        <v>52.5</v>
      </c>
      <c r="H15" s="23" t="n">
        <f aca="false">MIN(MAX(B15-Assumptions!B8, 0), Assumptions!C8)</f>
        <v>40</v>
      </c>
    </row>
    <row r="16" customFormat="false" ht="15" hidden="false" customHeight="false" outlineLevel="0" collapsed="false">
      <c r="A16" s="20" t="str">
        <f aca="false">'Loss Scenarios'!B15</f>
        <v>Moderate Typhoon Season (multiple)</v>
      </c>
      <c r="B16" s="21" t="n">
        <f aca="false">'Loss Scenarios'!F15</f>
        <v>42.75</v>
      </c>
      <c r="C16" s="22" t="n">
        <f aca="false">MIN(B16, Assumptions!B6)</f>
        <v>10</v>
      </c>
      <c r="D16" s="23" t="n">
        <f aca="false">MIN(MAX(B16-Assumptions!B6, 0), Assumptions!C6)</f>
        <v>20</v>
      </c>
      <c r="E16" s="22" t="n">
        <f aca="false">B16-C16-D16-F16-H16</f>
        <v>0</v>
      </c>
      <c r="F16" s="23" t="n">
        <f aca="false">MIN(MAX(B16-Assumptions!B7, 0), Assumptions!C7)</f>
        <v>12.75</v>
      </c>
      <c r="G16" s="22" t="n">
        <f aca="false">B16-D16-F16-H16</f>
        <v>10</v>
      </c>
      <c r="H16" s="23" t="n">
        <f aca="false">MIN(MAX(B16-Assumptions!B8, 0), Assumptions!C8)</f>
        <v>0</v>
      </c>
    </row>
    <row r="17" customFormat="false" ht="15" hidden="false" customHeight="false" outlineLevel="0" collapsed="false">
      <c r="A17" s="20" t="str">
        <f aca="false">'Loss Scenarios'!B16</f>
        <v>Minor EQ Swarm (freq. losses)</v>
      </c>
      <c r="B17" s="21" t="n">
        <f aca="false">'Loss Scenarios'!F16</f>
        <v>7.6</v>
      </c>
      <c r="C17" s="22" t="n">
        <f aca="false">MIN(B17, Assumptions!B6)</f>
        <v>7.6</v>
      </c>
      <c r="D17" s="23" t="n">
        <f aca="false">MIN(MAX(B17-Assumptions!B6, 0), Assumptions!C6)</f>
        <v>0</v>
      </c>
      <c r="E17" s="22" t="n">
        <f aca="false">B17-C17-D17-F17-H17</f>
        <v>0</v>
      </c>
      <c r="F17" s="23" t="n">
        <f aca="false">MIN(MAX(B17-Assumptions!B7, 0), Assumptions!C7)</f>
        <v>0</v>
      </c>
      <c r="G17" s="22" t="n">
        <f aca="false">B17-D17-F17-H17</f>
        <v>7.6</v>
      </c>
      <c r="H17" s="23" t="n">
        <f aca="false">MIN(MAX(B17-Assumptions!B8, 0), Assumptions!C8)</f>
        <v>0</v>
      </c>
    </row>
    <row r="19" customFormat="false" ht="15" hidden="false" customHeight="false" outlineLevel="0" collapsed="false">
      <c r="A19" s="12" t="s">
        <v>130</v>
      </c>
      <c r="B19" s="24" t="n">
        <f aca="false">AVERAGE(B6:B17)</f>
        <v>139.966666666667</v>
      </c>
      <c r="C19" s="24" t="n">
        <f aca="false">AVERAGE(C6:C17)</f>
        <v>9.8</v>
      </c>
      <c r="D19" s="24" t="n">
        <f aca="false">AVERAGE(D6:D17)</f>
        <v>15.7083333333333</v>
      </c>
      <c r="E19" s="24" t="n">
        <f aca="false">AVERAGE(E6:E17)</f>
        <v>75.5</v>
      </c>
      <c r="F19" s="24" t="n">
        <f aca="false">AVERAGE(F6:F17)</f>
        <v>18.8333333333333</v>
      </c>
      <c r="G19" s="24" t="n">
        <f aca="false">AVERAGE(G6:G17)</f>
        <v>85.3</v>
      </c>
      <c r="H19" s="24" t="n">
        <f aca="false">AVERAGE(H6:H17)</f>
        <v>20.125</v>
      </c>
    </row>
    <row r="20" customFormat="false" ht="15" hidden="false" customHeight="false" outlineLevel="0" collapsed="false">
      <c r="A20" s="5" t="s">
        <v>131</v>
      </c>
      <c r="B20" s="25" t="n">
        <f aca="false">MAX(B6:B17)</f>
        <v>475</v>
      </c>
      <c r="C20" s="25" t="n">
        <f aca="false">MAX(C6:C17)</f>
        <v>10</v>
      </c>
      <c r="D20" s="25" t="n">
        <f aca="false">MAX(D6:D17)</f>
        <v>20</v>
      </c>
      <c r="E20" s="25" t="n">
        <f aca="false">MAX(E6:E17)</f>
        <v>375</v>
      </c>
      <c r="F20" s="25" t="n">
        <f aca="false">MAX(F6:F17)</f>
        <v>30</v>
      </c>
      <c r="G20" s="25" t="n">
        <f aca="false">MAX(G6:G17)</f>
        <v>385</v>
      </c>
      <c r="H20" s="25" t="n">
        <f aca="false">MAX(H6:H17)</f>
        <v>40</v>
      </c>
    </row>
    <row r="23" customFormat="false" ht="15" hidden="false" customHeight="false" outlineLevel="0" collapsed="false">
      <c r="A23" s="3" t="s">
        <v>132</v>
      </c>
      <c r="B23" s="3"/>
      <c r="C23" s="3"/>
      <c r="D23" s="3"/>
    </row>
    <row r="24" customFormat="false" ht="26.85" hidden="false" customHeight="false" outlineLevel="0" collapsed="false">
      <c r="A24" s="4" t="s">
        <v>75</v>
      </c>
      <c r="B24" s="4" t="s">
        <v>123</v>
      </c>
      <c r="C24" s="4" t="s">
        <v>133</v>
      </c>
      <c r="D24" s="4" t="s">
        <v>134</v>
      </c>
    </row>
    <row r="25" customFormat="false" ht="15" hidden="false" customHeight="false" outlineLevel="0" collapsed="false">
      <c r="A25" s="20" t="str">
        <f aca="false">'Loss Scenarios'!B5</f>
        <v>Tohoku Earthquake &amp; Tsunami (東日本大震災)</v>
      </c>
      <c r="B25" s="21" t="n">
        <f aca="false">'Loss Scenarios'!F5</f>
        <v>266</v>
      </c>
      <c r="C25" s="22" t="n">
        <f aca="false">B25*(1-Assumptions!B14)</f>
        <v>186.2</v>
      </c>
      <c r="D25" s="23" t="n">
        <f aca="false">B25*Assumptions!B14</f>
        <v>79.8</v>
      </c>
    </row>
    <row r="26" customFormat="false" ht="15" hidden="false" customHeight="false" outlineLevel="0" collapsed="false">
      <c r="A26" s="20" t="str">
        <f aca="false">'Loss Scenarios'!B6</f>
        <v>Typhoon Jebi (台風21号)</v>
      </c>
      <c r="B26" s="21" t="n">
        <f aca="false">'Loss Scenarios'!F6</f>
        <v>90.25</v>
      </c>
      <c r="C26" s="22" t="n">
        <f aca="false">B26*(1-Assumptions!B14)</f>
        <v>63.175</v>
      </c>
      <c r="D26" s="23" t="n">
        <f aca="false">B26*Assumptions!B14</f>
        <v>27.075</v>
      </c>
    </row>
    <row r="27" customFormat="false" ht="15" hidden="false" customHeight="false" outlineLevel="0" collapsed="false">
      <c r="A27" s="20" t="str">
        <f aca="false">'Loss Scenarios'!B7</f>
        <v>Typhoon Hagibis (台風19号)</v>
      </c>
      <c r="B27" s="21" t="n">
        <f aca="false">'Loss Scenarios'!F7</f>
        <v>71.25</v>
      </c>
      <c r="C27" s="22" t="n">
        <f aca="false">B27*(1-Assumptions!B14)</f>
        <v>49.875</v>
      </c>
      <c r="D27" s="23" t="n">
        <f aca="false">B27*Assumptions!B14</f>
        <v>21.375</v>
      </c>
    </row>
    <row r="28" customFormat="false" ht="15" hidden="false" customHeight="false" outlineLevel="0" collapsed="false">
      <c r="A28" s="20" t="str">
        <f aca="false">'Loss Scenarios'!B8</f>
        <v>Kumamoto Earthquake (熊本地震)</v>
      </c>
      <c r="B28" s="21" t="n">
        <f aca="false">'Loss Scenarios'!F8</f>
        <v>33.25</v>
      </c>
      <c r="C28" s="22" t="n">
        <f aca="false">B28*(1-Assumptions!B14)</f>
        <v>23.275</v>
      </c>
      <c r="D28" s="23" t="n">
        <f aca="false">B28*Assumptions!B14</f>
        <v>9.975</v>
      </c>
    </row>
    <row r="29" customFormat="false" ht="15" hidden="false" customHeight="false" outlineLevel="0" collapsed="false">
      <c r="A29" s="20" t="str">
        <f aca="false">'Loss Scenarios'!B9</f>
        <v>Osaka Earthquake (大阪北部地震)</v>
      </c>
      <c r="B29" s="21" t="n">
        <f aca="false">'Loss Scenarios'!F9</f>
        <v>11.4</v>
      </c>
      <c r="C29" s="22" t="n">
        <f aca="false">B29*(1-Assumptions!B14)</f>
        <v>7.98</v>
      </c>
      <c r="D29" s="23" t="n">
        <f aca="false">B29*Assumptions!B14</f>
        <v>3.42</v>
      </c>
    </row>
    <row r="30" customFormat="false" ht="15" hidden="false" customHeight="false" outlineLevel="0" collapsed="false">
      <c r="A30" s="20" t="str">
        <f aca="false">'Loss Scenarios'!B10</f>
        <v>Typhoon Tokage (台風23号)</v>
      </c>
      <c r="B30" s="21" t="n">
        <f aca="false">'Loss Scenarios'!F10</f>
        <v>17.1</v>
      </c>
      <c r="C30" s="22" t="n">
        <f aca="false">B30*(1-Assumptions!B14)</f>
        <v>11.97</v>
      </c>
      <c r="D30" s="23" t="n">
        <f aca="false">B30*Assumptions!B14</f>
        <v>5.13</v>
      </c>
    </row>
    <row r="31" customFormat="false" ht="15" hidden="false" customHeight="false" outlineLevel="0" collapsed="false">
      <c r="A31" s="20" t="str">
        <f aca="false">'Loss Scenarios'!B11</f>
        <v>Kobe Earthquake (阪神・淡路大震災)</v>
      </c>
      <c r="B31" s="21" t="n">
        <f aca="false">'Loss Scenarios'!F11</f>
        <v>190</v>
      </c>
      <c r="C31" s="22" t="n">
        <f aca="false">B31*(1-Assumptions!B14)</f>
        <v>133</v>
      </c>
      <c r="D31" s="23" t="n">
        <f aca="false">B31*Assumptions!B14</f>
        <v>57</v>
      </c>
    </row>
    <row r="32" customFormat="false" ht="15" hidden="false" customHeight="false" outlineLevel="0" collapsed="false">
      <c r="A32" s="20" t="str">
        <f aca="false">'Loss Scenarios'!B12</f>
        <v>Nankai Trough Scenario (南海トラフ)</v>
      </c>
      <c r="B32" s="21" t="n">
        <f aca="false">'Loss Scenarios'!F12</f>
        <v>475</v>
      </c>
      <c r="C32" s="22" t="n">
        <f aca="false">B32*(1-Assumptions!B14)</f>
        <v>332.5</v>
      </c>
      <c r="D32" s="23" t="n">
        <f aca="false">B32*Assumptions!B14</f>
        <v>142.5</v>
      </c>
    </row>
    <row r="33" customFormat="false" ht="15" hidden="false" customHeight="false" outlineLevel="0" collapsed="false">
      <c r="A33" s="20" t="str">
        <f aca="false">'Loss Scenarios'!B13</f>
        <v>Tokyo Inland EQ (首都直下地震)</v>
      </c>
      <c r="B33" s="21" t="n">
        <f aca="false">'Loss Scenarios'!F13</f>
        <v>332.5</v>
      </c>
      <c r="C33" s="22" t="n">
        <f aca="false">B33*(1-Assumptions!B14)</f>
        <v>232.75</v>
      </c>
      <c r="D33" s="23" t="n">
        <f aca="false">B33*Assumptions!B14</f>
        <v>99.75</v>
      </c>
    </row>
    <row r="34" customFormat="false" ht="15" hidden="false" customHeight="false" outlineLevel="0" collapsed="false">
      <c r="A34" s="20" t="str">
        <f aca="false">'Loss Scenarios'!B14</f>
        <v>Super Typhoon Tokyo Direct Hit</v>
      </c>
      <c r="B34" s="21" t="n">
        <f aca="false">'Loss Scenarios'!F14</f>
        <v>142.5</v>
      </c>
      <c r="C34" s="22" t="n">
        <f aca="false">B34*(1-Assumptions!B14)</f>
        <v>99.75</v>
      </c>
      <c r="D34" s="23" t="n">
        <f aca="false">B34*Assumptions!B14</f>
        <v>42.75</v>
      </c>
    </row>
    <row r="35" customFormat="false" ht="15" hidden="false" customHeight="false" outlineLevel="0" collapsed="false">
      <c r="A35" s="20" t="str">
        <f aca="false">'Loss Scenarios'!B15</f>
        <v>Moderate Typhoon Season (multiple)</v>
      </c>
      <c r="B35" s="21" t="n">
        <f aca="false">'Loss Scenarios'!F15</f>
        <v>42.75</v>
      </c>
      <c r="C35" s="22" t="n">
        <f aca="false">B35*(1-Assumptions!B14)</f>
        <v>29.925</v>
      </c>
      <c r="D35" s="23" t="n">
        <f aca="false">B35*Assumptions!B14</f>
        <v>12.825</v>
      </c>
    </row>
    <row r="36" customFormat="false" ht="15" hidden="false" customHeight="false" outlineLevel="0" collapsed="false">
      <c r="A36" s="20" t="str">
        <f aca="false">'Loss Scenarios'!B16</f>
        <v>Minor EQ Swarm (freq. losses)</v>
      </c>
      <c r="B36" s="21" t="n">
        <f aca="false">'Loss Scenarios'!F16</f>
        <v>7.6</v>
      </c>
      <c r="C36" s="22" t="n">
        <f aca="false">B36*(1-Assumptions!B14)</f>
        <v>5.32</v>
      </c>
      <c r="D36" s="23" t="n">
        <f aca="false">B36*Assumptions!B14</f>
        <v>2.28</v>
      </c>
    </row>
    <row r="37" customFormat="false" ht="15" hidden="false" customHeight="false" outlineLevel="0" collapsed="false">
      <c r="A37" s="12" t="s">
        <v>135</v>
      </c>
      <c r="B37" s="24" t="n">
        <f aca="false">AVERAGE(B25:B36)</f>
        <v>139.966666666667</v>
      </c>
      <c r="C37" s="24" t="n">
        <f aca="false">AVERAGE(C25:C36)</f>
        <v>97.9766666666667</v>
      </c>
      <c r="D37" s="24" t="n">
        <f aca="false">AVERAGE(D25:D36)</f>
        <v>41.99</v>
      </c>
    </row>
  </sheetData>
  <mergeCells count="4">
    <mergeCell ref="A1:H1"/>
    <mergeCell ref="A2:H2"/>
    <mergeCell ref="A4:H4"/>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C000"/>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6" min="2" style="0" width="18"/>
  </cols>
  <sheetData>
    <row r="1" customFormat="false" ht="17.35" hidden="false" customHeight="false" outlineLevel="0" collapsed="false">
      <c r="A1" s="1" t="s">
        <v>136</v>
      </c>
      <c r="B1" s="1"/>
      <c r="C1" s="1"/>
      <c r="D1" s="1"/>
      <c r="E1" s="1"/>
      <c r="F1" s="1"/>
    </row>
    <row r="3" customFormat="false" ht="15" hidden="false" customHeight="false" outlineLevel="0" collapsed="false">
      <c r="A3" s="8" t="s">
        <v>137</v>
      </c>
    </row>
    <row r="4" customFormat="false" ht="26.85" hidden="false" customHeight="false" outlineLevel="0" collapsed="false">
      <c r="A4" s="4" t="s">
        <v>138</v>
      </c>
      <c r="B4" s="4" t="s">
        <v>139</v>
      </c>
      <c r="C4" s="4" t="s">
        <v>140</v>
      </c>
      <c r="D4" s="4" t="s">
        <v>141</v>
      </c>
      <c r="E4" s="4" t="s">
        <v>142</v>
      </c>
    </row>
    <row r="5" customFormat="false" ht="15" hidden="false" customHeight="false" outlineLevel="0" collapsed="false">
      <c r="A5" s="5" t="s">
        <v>143</v>
      </c>
      <c r="B5" s="22" t="n">
        <f aca="false">'Reinsurance Structures'!D19</f>
        <v>15.7083333333333</v>
      </c>
      <c r="C5" s="22" t="n">
        <f aca="false">'Reinsurance Structures'!F19</f>
        <v>18.8333333333333</v>
      </c>
      <c r="D5" s="22" t="n">
        <f aca="false">'Reinsurance Structures'!H19</f>
        <v>20.125</v>
      </c>
      <c r="E5" s="22" t="n">
        <f aca="false">B5+C5+D5</f>
        <v>54.6666666666667</v>
      </c>
    </row>
    <row r="6" customFormat="false" ht="15" hidden="false" customHeight="false" outlineLevel="0" collapsed="false">
      <c r="A6" s="5" t="s">
        <v>144</v>
      </c>
      <c r="B6" s="22" t="n">
        <f aca="false">Assumptions!C6</f>
        <v>20</v>
      </c>
      <c r="C6" s="22" t="n">
        <f aca="false">Assumptions!C7</f>
        <v>30</v>
      </c>
      <c r="D6" s="22" t="n">
        <f aca="false">Assumptions!C8</f>
        <v>40</v>
      </c>
      <c r="E6" s="22" t="n">
        <f aca="false">B6+C6+D6</f>
        <v>90</v>
      </c>
    </row>
    <row r="7" customFormat="false" ht="15" hidden="false" customHeight="false" outlineLevel="0" collapsed="false">
      <c r="A7" s="5" t="s">
        <v>145</v>
      </c>
      <c r="B7" s="11" t="n">
        <f aca="false">B5/B6</f>
        <v>0.785416666666667</v>
      </c>
      <c r="C7" s="11" t="n">
        <f aca="false">C5/C6</f>
        <v>0.627777777777778</v>
      </c>
      <c r="D7" s="11" t="n">
        <f aca="false">D5/D6</f>
        <v>0.503125</v>
      </c>
      <c r="E7" s="11" t="n">
        <f aca="false">E5/E6</f>
        <v>0.607407407407407</v>
      </c>
    </row>
    <row r="8" customFormat="false" ht="15" hidden="false" customHeight="false" outlineLevel="0" collapsed="false">
      <c r="A8" s="5" t="s">
        <v>146</v>
      </c>
      <c r="B8" s="22" t="n">
        <f aca="false">B5*(1+Assumptions!B20)</f>
        <v>21.20625</v>
      </c>
      <c r="C8" s="22" t="n">
        <f aca="false">C5*(1+Assumptions!B20)</f>
        <v>25.425</v>
      </c>
      <c r="D8" s="22" t="n">
        <f aca="false">D5*(1+Assumptions!B20)</f>
        <v>27.16875</v>
      </c>
      <c r="E8" s="22" t="n">
        <f aca="false">B8+C8+D8</f>
        <v>73.8</v>
      </c>
    </row>
    <row r="9" customFormat="false" ht="15" hidden="false" customHeight="false" outlineLevel="0" collapsed="false">
      <c r="A9" s="5" t="s">
        <v>147</v>
      </c>
      <c r="B9" s="22" t="n">
        <f aca="false">B8*Assumptions!B21</f>
        <v>2.120625</v>
      </c>
      <c r="C9" s="22" t="n">
        <f aca="false">C8*Assumptions!B21</f>
        <v>2.5425</v>
      </c>
      <c r="D9" s="22" t="n">
        <f aca="false">D8*Assumptions!B21</f>
        <v>2.716875</v>
      </c>
      <c r="E9" s="22" t="n">
        <f aca="false">B9+C9+D9</f>
        <v>7.38</v>
      </c>
    </row>
    <row r="10" customFormat="false" ht="15" hidden="false" customHeight="false" outlineLevel="0" collapsed="false">
      <c r="A10" s="5" t="s">
        <v>148</v>
      </c>
      <c r="B10" s="22" t="n">
        <f aca="false">B8-B9</f>
        <v>19.085625</v>
      </c>
      <c r="C10" s="22" t="n">
        <f aca="false">C8-C9</f>
        <v>22.8825</v>
      </c>
      <c r="D10" s="22" t="n">
        <f aca="false">D8-D9</f>
        <v>24.451875</v>
      </c>
      <c r="E10" s="22" t="n">
        <f aca="false">B10+C10+D10</f>
        <v>66.42</v>
      </c>
    </row>
    <row r="13" customFormat="false" ht="15" hidden="false" customHeight="false" outlineLevel="0" collapsed="false">
      <c r="A13" s="8" t="s">
        <v>149</v>
      </c>
    </row>
    <row r="14" customFormat="false" ht="15" hidden="false" customHeight="false" outlineLevel="0" collapsed="false">
      <c r="A14" s="4" t="s">
        <v>138</v>
      </c>
      <c r="B14" s="4" t="s">
        <v>150</v>
      </c>
    </row>
    <row r="15" customFormat="false" ht="15" hidden="false" customHeight="false" outlineLevel="0" collapsed="false">
      <c r="A15" s="5" t="s">
        <v>143</v>
      </c>
      <c r="B15" s="22" t="n">
        <f aca="false">'Reinsurance Structures'!D37</f>
        <v>41.99</v>
      </c>
    </row>
    <row r="16" customFormat="false" ht="15" hidden="false" customHeight="false" outlineLevel="0" collapsed="false">
      <c r="A16" s="5" t="s">
        <v>19</v>
      </c>
      <c r="B16" s="11" t="n">
        <f aca="false">Assumptions!B14</f>
        <v>0.3</v>
      </c>
    </row>
    <row r="17" customFormat="false" ht="15" hidden="false" customHeight="false" outlineLevel="0" collapsed="false">
      <c r="A17" s="5" t="s">
        <v>146</v>
      </c>
      <c r="B17" s="22" t="n">
        <f aca="false">B15*(1+Assumptions!B20)</f>
        <v>56.6865</v>
      </c>
    </row>
    <row r="18" customFormat="false" ht="15" hidden="false" customHeight="false" outlineLevel="0" collapsed="false">
      <c r="A18" s="5" t="s">
        <v>151</v>
      </c>
      <c r="B18" s="22" t="n">
        <f aca="false">B17*Assumptions!B15</f>
        <v>14.171625</v>
      </c>
    </row>
    <row r="19" customFormat="false" ht="15" hidden="false" customHeight="false" outlineLevel="0" collapsed="false">
      <c r="A19" s="5" t="s">
        <v>147</v>
      </c>
      <c r="B19" s="22" t="n">
        <f aca="false">(B17-B18)*Assumptions!B21</f>
        <v>4.2514875</v>
      </c>
    </row>
    <row r="20" customFormat="false" ht="15" hidden="false" customHeight="false" outlineLevel="0" collapsed="false">
      <c r="A20" s="5" t="s">
        <v>148</v>
      </c>
      <c r="B20" s="22" t="n">
        <f aca="false">B17-B18-B19</f>
        <v>38.2633875</v>
      </c>
    </row>
    <row r="23" customFormat="false" ht="15" hidden="false" customHeight="false" outlineLevel="0" collapsed="false">
      <c r="A23" s="3" t="s">
        <v>152</v>
      </c>
      <c r="B23" s="3"/>
      <c r="C23" s="3"/>
      <c r="D23" s="3"/>
    </row>
    <row r="24" customFormat="false" ht="26.85" hidden="false" customHeight="false" outlineLevel="0" collapsed="false">
      <c r="A24" s="4" t="s">
        <v>138</v>
      </c>
      <c r="B24" s="4" t="s">
        <v>153</v>
      </c>
      <c r="C24" s="4" t="s">
        <v>150</v>
      </c>
      <c r="D24" s="4" t="s">
        <v>154</v>
      </c>
    </row>
    <row r="25" customFormat="false" ht="15" hidden="false" customHeight="false" outlineLevel="0" collapsed="false">
      <c r="A25" s="5" t="s">
        <v>155</v>
      </c>
      <c r="B25" s="22" t="n">
        <f aca="false">E8</f>
        <v>73.8</v>
      </c>
      <c r="C25" s="22" t="n">
        <f aca="false">B17</f>
        <v>56.6865</v>
      </c>
      <c r="D25" s="26" t="str">
        <f aca="false">IF(B25&lt;C25, "XoL cheaper", "QS cheaper")</f>
        <v>QS cheaper</v>
      </c>
    </row>
    <row r="26" customFormat="false" ht="15" hidden="false" customHeight="false" outlineLevel="0" collapsed="false">
      <c r="A26" s="5" t="s">
        <v>156</v>
      </c>
      <c r="B26" s="22" t="n">
        <f aca="false">E5</f>
        <v>54.6666666666667</v>
      </c>
      <c r="C26" s="22" t="n">
        <f aca="false">B15</f>
        <v>41.99</v>
      </c>
      <c r="D26" s="26" t="str">
        <f aca="false">IF(B26&gt;C26, "XoL cedes more", "QS cedes more")</f>
        <v>XoL cedes more</v>
      </c>
    </row>
    <row r="27" customFormat="false" ht="15" hidden="false" customHeight="false" outlineLevel="0" collapsed="false">
      <c r="A27" s="5" t="s">
        <v>157</v>
      </c>
      <c r="B27" s="22" t="n">
        <f aca="false">'Reinsurance Structures'!G20+'Reinsurance Structures'!C20+'Reinsurance Structures'!E20</f>
        <v>770</v>
      </c>
      <c r="C27" s="22" t="n">
        <f aca="false">'Reinsurance Structures'!C38</f>
        <v>0</v>
      </c>
      <c r="D27" s="26" t="str">
        <f aca="false">IF(B27&lt;C27, "XoL protects tail better", "QS protects tail better")</f>
        <v>QS protects tail better</v>
      </c>
    </row>
    <row r="28" customFormat="false" ht="15" hidden="false" customHeight="false" outlineLevel="0" collapsed="false">
      <c r="A28" s="5" t="s">
        <v>158</v>
      </c>
      <c r="B28" s="27" t="n">
        <f aca="false">B25/B26</f>
        <v>1.35</v>
      </c>
      <c r="C28" s="27" t="n">
        <f aca="false">C25/C26</f>
        <v>1.35</v>
      </c>
      <c r="D28" s="26" t="str">
        <f aca="false">IF(B28&lt;C28, "XoL more efficient", "QS more efficient")</f>
        <v>QS more efficient</v>
      </c>
    </row>
  </sheetData>
  <mergeCells count="2">
    <mergeCell ref="A1:F1"/>
    <mergeCell ref="A23:D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A1:F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6" min="2" style="0" width="16"/>
  </cols>
  <sheetData>
    <row r="1" customFormat="false" ht="17.35" hidden="false" customHeight="false" outlineLevel="0" collapsed="false">
      <c r="A1" s="1" t="s">
        <v>159</v>
      </c>
      <c r="B1" s="1"/>
      <c r="C1" s="1"/>
      <c r="D1" s="1"/>
      <c r="E1" s="1"/>
      <c r="F1" s="1"/>
    </row>
    <row r="3" customFormat="false" ht="15" hidden="false" customHeight="false" outlineLevel="0" collapsed="false">
      <c r="A3" s="3" t="s">
        <v>160</v>
      </c>
      <c r="B3" s="3"/>
      <c r="C3" s="3"/>
      <c r="D3" s="3"/>
      <c r="E3" s="3"/>
      <c r="F3" s="3"/>
    </row>
    <row r="4" customFormat="false" ht="26.85" hidden="false" customHeight="false" outlineLevel="0" collapsed="false">
      <c r="A4" s="4" t="s">
        <v>161</v>
      </c>
      <c r="B4" s="4" t="s">
        <v>156</v>
      </c>
      <c r="C4" s="4" t="s">
        <v>162</v>
      </c>
      <c r="D4" s="4" t="s">
        <v>163</v>
      </c>
      <c r="E4" s="4" t="s">
        <v>164</v>
      </c>
    </row>
    <row r="5" customFormat="false" ht="15" hidden="false" customHeight="false" outlineLevel="0" collapsed="false">
      <c r="A5" s="28" t="n">
        <v>0.1</v>
      </c>
      <c r="B5" s="22" t="n">
        <f aca="false">AVERAGE('Loss Scenarios'!F5:F16)*A5</f>
        <v>13.9966666666667</v>
      </c>
      <c r="C5" s="22" t="n">
        <f aca="false">B5*(1+Assumptions!B20)*(1-Assumptions!B15)</f>
        <v>14.171625</v>
      </c>
      <c r="D5" s="22" t="n">
        <f aca="false">MAX('Loss Scenarios'!F5:F16)*(1-A5)</f>
        <v>427.5</v>
      </c>
      <c r="E5" s="29" t="n">
        <f aca="false">IF(B5=0,0,C5/B5)</f>
        <v>1.0125</v>
      </c>
    </row>
    <row r="6" customFormat="false" ht="15" hidden="false" customHeight="false" outlineLevel="0" collapsed="false">
      <c r="A6" s="28" t="n">
        <v>0.2</v>
      </c>
      <c r="B6" s="22" t="n">
        <f aca="false">AVERAGE('Loss Scenarios'!F5:F16)*A6</f>
        <v>27.9933333333333</v>
      </c>
      <c r="C6" s="22" t="n">
        <f aca="false">B6*(1+Assumptions!B20)*(1-Assumptions!B15)</f>
        <v>28.34325</v>
      </c>
      <c r="D6" s="22" t="n">
        <f aca="false">MAX('Loss Scenarios'!F5:F16)*(1-A6)</f>
        <v>380</v>
      </c>
      <c r="E6" s="29" t="n">
        <f aca="false">IF(B6=0,0,C6/B6)</f>
        <v>1.0125</v>
      </c>
    </row>
    <row r="7" customFormat="false" ht="15" hidden="false" customHeight="false" outlineLevel="0" collapsed="false">
      <c r="A7" s="28" t="n">
        <v>0.25</v>
      </c>
      <c r="B7" s="22" t="n">
        <f aca="false">AVERAGE('Loss Scenarios'!F5:F16)*A7</f>
        <v>34.9916666666667</v>
      </c>
      <c r="C7" s="22" t="n">
        <f aca="false">B7*(1+Assumptions!B20)*(1-Assumptions!B15)</f>
        <v>35.4290625</v>
      </c>
      <c r="D7" s="22" t="n">
        <f aca="false">MAX('Loss Scenarios'!F5:F16)*(1-A7)</f>
        <v>356.25</v>
      </c>
      <c r="E7" s="29" t="n">
        <f aca="false">IF(B7=0,0,C7/B7)</f>
        <v>1.0125</v>
      </c>
    </row>
    <row r="8" customFormat="false" ht="15" hidden="false" customHeight="false" outlineLevel="0" collapsed="false">
      <c r="A8" s="28" t="n">
        <v>0.3</v>
      </c>
      <c r="B8" s="22" t="n">
        <f aca="false">AVERAGE('Loss Scenarios'!F5:F16)*A8</f>
        <v>41.99</v>
      </c>
      <c r="C8" s="22" t="n">
        <f aca="false">B8*(1+Assumptions!B20)*(1-Assumptions!B15)</f>
        <v>42.514875</v>
      </c>
      <c r="D8" s="22" t="n">
        <f aca="false">MAX('Loss Scenarios'!F5:F16)*(1-A8)</f>
        <v>332.5</v>
      </c>
      <c r="E8" s="29" t="n">
        <f aca="false">IF(B8=0,0,C8/B8)</f>
        <v>1.0125</v>
      </c>
    </row>
    <row r="9" customFormat="false" ht="15" hidden="false" customHeight="false" outlineLevel="0" collapsed="false">
      <c r="A9" s="28" t="n">
        <v>0.35</v>
      </c>
      <c r="B9" s="22" t="n">
        <f aca="false">AVERAGE('Loss Scenarios'!F5:F16)*A9</f>
        <v>48.9883333333333</v>
      </c>
      <c r="C9" s="22" t="n">
        <f aca="false">B9*(1+Assumptions!B20)*(1-Assumptions!B15)</f>
        <v>49.6006875</v>
      </c>
      <c r="D9" s="22" t="n">
        <f aca="false">MAX('Loss Scenarios'!F5:F16)*(1-A9)</f>
        <v>308.75</v>
      </c>
      <c r="E9" s="29" t="n">
        <f aca="false">IF(B9=0,0,C9/B9)</f>
        <v>1.0125</v>
      </c>
    </row>
    <row r="10" customFormat="false" ht="15" hidden="false" customHeight="false" outlineLevel="0" collapsed="false">
      <c r="A10" s="28" t="n">
        <v>0.4</v>
      </c>
      <c r="B10" s="22" t="n">
        <f aca="false">AVERAGE('Loss Scenarios'!F5:F16)*A10</f>
        <v>55.9866666666667</v>
      </c>
      <c r="C10" s="22" t="n">
        <f aca="false">B10*(1+Assumptions!B20)*(1-Assumptions!B15)</f>
        <v>56.6865</v>
      </c>
      <c r="D10" s="22" t="n">
        <f aca="false">MAX('Loss Scenarios'!F5:F16)*(1-A10)</f>
        <v>285</v>
      </c>
      <c r="E10" s="29" t="n">
        <f aca="false">IF(B10=0,0,C10/B10)</f>
        <v>1.0125</v>
      </c>
    </row>
    <row r="11" customFormat="false" ht="15" hidden="false" customHeight="false" outlineLevel="0" collapsed="false">
      <c r="A11" s="28" t="n">
        <v>0.5</v>
      </c>
      <c r="B11" s="22" t="n">
        <f aca="false">AVERAGE('Loss Scenarios'!F5:F16)*A11</f>
        <v>69.9833333333333</v>
      </c>
      <c r="C11" s="22" t="n">
        <f aca="false">B11*(1+Assumptions!B20)*(1-Assumptions!B15)</f>
        <v>70.858125</v>
      </c>
      <c r="D11" s="22" t="n">
        <f aca="false">MAX('Loss Scenarios'!F5:F16)*(1-A11)</f>
        <v>237.5</v>
      </c>
      <c r="E11" s="29" t="n">
        <f aca="false">IF(B11=0,0,C11/B11)</f>
        <v>1.0125</v>
      </c>
    </row>
    <row r="14" customFormat="false" ht="15" hidden="false" customHeight="false" outlineLevel="0" collapsed="false">
      <c r="A14" s="3" t="s">
        <v>165</v>
      </c>
      <c r="B14" s="3"/>
      <c r="C14" s="3"/>
      <c r="D14" s="3"/>
      <c r="E14" s="3"/>
      <c r="F14" s="3"/>
    </row>
    <row r="15" customFormat="false" ht="26.85" hidden="false" customHeight="false" outlineLevel="0" collapsed="false">
      <c r="A15" s="4" t="s">
        <v>4</v>
      </c>
      <c r="B15" s="4" t="s">
        <v>5</v>
      </c>
      <c r="C15" s="4" t="s">
        <v>156</v>
      </c>
      <c r="D15" s="4" t="s">
        <v>166</v>
      </c>
      <c r="E15" s="4" t="s">
        <v>162</v>
      </c>
    </row>
    <row r="16" customFormat="false" ht="15" hidden="false" customHeight="false" outlineLevel="0" collapsed="false">
      <c r="A16" s="6" t="n">
        <v>5</v>
      </c>
      <c r="B16" s="6" t="n">
        <v>20</v>
      </c>
      <c r="C16" s="22" t="n">
        <f aca="false">SUMPRODUCT(MIN(MAX('Loss Scenarios'!F5:F16-A16,0),B16))/12</f>
        <v>1.66666666666667</v>
      </c>
      <c r="D16" s="11" t="n">
        <f aca="false">IF(B16=0,0,C16/B16)</f>
        <v>0.0833333333333333</v>
      </c>
      <c r="E16" s="22" t="n">
        <f aca="false">C16*(1+Assumptions!B20)</f>
        <v>2.25</v>
      </c>
    </row>
    <row r="17" customFormat="false" ht="15" hidden="false" customHeight="false" outlineLevel="0" collapsed="false">
      <c r="A17" s="6" t="n">
        <v>10</v>
      </c>
      <c r="B17" s="6" t="n">
        <v>20</v>
      </c>
      <c r="C17" s="22" t="n">
        <f aca="false">SUMPRODUCT(MIN(MAX('Loss Scenarios'!F5:F16-A17,0),B17))/12</f>
        <v>1.66666666666667</v>
      </c>
      <c r="D17" s="11" t="n">
        <f aca="false">IF(B17=0,0,C17/B17)</f>
        <v>0.0833333333333333</v>
      </c>
      <c r="E17" s="22" t="n">
        <f aca="false">C17*(1+Assumptions!B20)</f>
        <v>2.25</v>
      </c>
    </row>
    <row r="18" customFormat="false" ht="15" hidden="false" customHeight="false" outlineLevel="0" collapsed="false">
      <c r="A18" s="6" t="n">
        <v>15</v>
      </c>
      <c r="B18" s="6" t="n">
        <v>20</v>
      </c>
      <c r="C18" s="22" t="n">
        <f aca="false">SUMPRODUCT(MIN(MAX('Loss Scenarios'!F5:F16-A18,0),B18))/12</f>
        <v>1.66666666666667</v>
      </c>
      <c r="D18" s="11" t="n">
        <f aca="false">IF(B18=0,0,C18/B18)</f>
        <v>0.0833333333333333</v>
      </c>
      <c r="E18" s="22" t="n">
        <f aca="false">C18*(1+Assumptions!B20)</f>
        <v>2.25</v>
      </c>
    </row>
    <row r="19" customFormat="false" ht="15" hidden="false" customHeight="false" outlineLevel="0" collapsed="false">
      <c r="A19" s="6" t="n">
        <v>20</v>
      </c>
      <c r="B19" s="6" t="n">
        <v>20</v>
      </c>
      <c r="C19" s="22" t="n">
        <f aca="false">SUMPRODUCT(MIN(MAX('Loss Scenarios'!F5:F16-A19,0),B19))/12</f>
        <v>1.66666666666667</v>
      </c>
      <c r="D19" s="11" t="n">
        <f aca="false">IF(B19=0,0,C19/B19)</f>
        <v>0.0833333333333333</v>
      </c>
      <c r="E19" s="22" t="n">
        <f aca="false">C19*(1+Assumptions!B20)</f>
        <v>2.25</v>
      </c>
    </row>
    <row r="20" customFormat="false" ht="15" hidden="false" customHeight="false" outlineLevel="0" collapsed="false">
      <c r="A20" s="6" t="n">
        <v>30</v>
      </c>
      <c r="B20" s="6" t="n">
        <v>20</v>
      </c>
      <c r="C20" s="22" t="n">
        <f aca="false">SUMPRODUCT(MIN(MAX('Loss Scenarios'!F5:F16-A20,0),B20))/12</f>
        <v>1.66666666666667</v>
      </c>
      <c r="D20" s="11" t="n">
        <f aca="false">IF(B20=0,0,C20/B20)</f>
        <v>0.0833333333333333</v>
      </c>
      <c r="E20" s="22" t="n">
        <f aca="false">C20*(1+Assumptions!B20)</f>
        <v>2.25</v>
      </c>
    </row>
    <row r="21" customFormat="false" ht="15" hidden="false" customHeight="false" outlineLevel="0" collapsed="false">
      <c r="A21" s="6" t="n">
        <v>50</v>
      </c>
      <c r="B21" s="6" t="n">
        <v>20</v>
      </c>
      <c r="C21" s="22" t="n">
        <f aca="false">SUMPRODUCT(MIN(MAX('Loss Scenarios'!F5:F16-A21,0),B21))/12</f>
        <v>1.66666666666667</v>
      </c>
      <c r="D21" s="11" t="n">
        <f aca="false">IF(B21=0,0,C21/B21)</f>
        <v>0.0833333333333333</v>
      </c>
      <c r="E21" s="22" t="n">
        <f aca="false">C21*(1+Assumptions!B20)</f>
        <v>2.25</v>
      </c>
    </row>
  </sheetData>
  <mergeCells count="3">
    <mergeCell ref="A1:F1"/>
    <mergeCell ref="A3:F3"/>
    <mergeCell ref="A14: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2060"/>
    <pageSetUpPr fitToPage="false"/>
  </sheetPr>
  <dimension ref="A1:A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0"/>
  </cols>
  <sheetData>
    <row r="1" customFormat="false" ht="17.35" hidden="false" customHeight="false" outlineLevel="0" collapsed="false">
      <c r="A1" s="30" t="s">
        <v>167</v>
      </c>
    </row>
    <row r="2" customFormat="false" ht="15" hidden="false" customHeight="false" outlineLevel="0" collapsed="false">
      <c r="A2" s="31" t="s">
        <v>168</v>
      </c>
    </row>
    <row r="4" customFormat="false" ht="15" hidden="false" customHeight="false" outlineLevel="0" collapsed="false">
      <c r="A4" s="32"/>
    </row>
    <row r="5" customFormat="false" ht="15" hidden="false" customHeight="false" outlineLevel="0" collapsed="false">
      <c r="A5" s="33" t="s">
        <v>169</v>
      </c>
    </row>
    <row r="6" customFormat="false" ht="15" hidden="false" customHeight="false" outlineLevel="0" collapsed="false">
      <c r="A6" s="33" t="s">
        <v>170</v>
      </c>
    </row>
    <row r="7" customFormat="false" ht="15" hidden="false" customHeight="false" outlineLevel="0" collapsed="false">
      <c r="A7" s="33" t="s">
        <v>171</v>
      </c>
    </row>
    <row r="8" customFormat="false" ht="15" hidden="false" customHeight="false" outlineLevel="0" collapsed="false">
      <c r="A8" s="32"/>
    </row>
    <row r="9" customFormat="false" ht="15" hidden="false" customHeight="false" outlineLevel="0" collapsed="false">
      <c r="A9" s="34" t="s">
        <v>172</v>
      </c>
    </row>
    <row r="10" customFormat="false" ht="15" hidden="false" customHeight="false" outlineLevel="0" collapsed="false">
      <c r="A10" s="32"/>
    </row>
    <row r="11" customFormat="false" ht="57.45" hidden="false" customHeight="false" outlineLevel="0" collapsed="false">
      <c r="A11" s="32" t="s">
        <v>173</v>
      </c>
    </row>
    <row r="12" customFormat="false" ht="15" hidden="false" customHeight="false" outlineLevel="0" collapsed="false">
      <c r="A12" s="32"/>
    </row>
    <row r="13" customFormat="false" ht="15" hidden="false" customHeight="false" outlineLevel="0" collapsed="false">
      <c r="A13" s="34" t="s">
        <v>174</v>
      </c>
    </row>
    <row r="14" customFormat="false" ht="15" hidden="false" customHeight="false" outlineLevel="0" collapsed="false">
      <c r="A14" s="32"/>
    </row>
    <row r="15" customFormat="false" ht="46.25" hidden="false" customHeight="false" outlineLevel="0" collapsed="false">
      <c r="A15" s="32" t="s">
        <v>175</v>
      </c>
    </row>
    <row r="16" customFormat="false" ht="15" hidden="false" customHeight="false" outlineLevel="0" collapsed="false">
      <c r="A16" s="32"/>
    </row>
    <row r="17" customFormat="false" ht="46.25" hidden="false" customHeight="false" outlineLevel="0" collapsed="false">
      <c r="A17" s="32" t="s">
        <v>176</v>
      </c>
    </row>
    <row r="18" customFormat="false" ht="15" hidden="false" customHeight="false" outlineLevel="0" collapsed="false">
      <c r="A18" s="32"/>
    </row>
    <row r="19" customFormat="false" ht="46.25" hidden="false" customHeight="false" outlineLevel="0" collapsed="false">
      <c r="A19" s="32" t="s">
        <v>177</v>
      </c>
    </row>
    <row r="20" customFormat="false" ht="15" hidden="false" customHeight="false" outlineLevel="0" collapsed="false">
      <c r="A20" s="32"/>
    </row>
    <row r="21" customFormat="false" ht="15" hidden="false" customHeight="false" outlineLevel="0" collapsed="false">
      <c r="A21" s="34" t="s">
        <v>178</v>
      </c>
    </row>
    <row r="22" customFormat="false" ht="15" hidden="false" customHeight="false" outlineLevel="0" collapsed="false">
      <c r="A22" s="32"/>
    </row>
    <row r="23" customFormat="false" ht="35.05" hidden="false" customHeight="false" outlineLevel="0" collapsed="false">
      <c r="A23" s="32" t="s">
        <v>179</v>
      </c>
    </row>
    <row r="24" customFormat="false" ht="15" hidden="false" customHeight="false" outlineLevel="0" collapsed="false">
      <c r="A24" s="32"/>
    </row>
    <row r="25" customFormat="false" ht="35.05" hidden="false" customHeight="false" outlineLevel="0" collapsed="false">
      <c r="A25" s="32" t="s">
        <v>180</v>
      </c>
    </row>
    <row r="26" customFormat="false" ht="15" hidden="false" customHeight="false" outlineLevel="0" collapsed="false">
      <c r="A26" s="32"/>
    </row>
    <row r="27" customFormat="false" ht="15" hidden="false" customHeight="false" outlineLevel="0" collapsed="false">
      <c r="A27" s="34" t="s">
        <v>181</v>
      </c>
    </row>
    <row r="28" customFormat="false" ht="15" hidden="false" customHeight="false" outlineLevel="0" collapsed="false">
      <c r="A28" s="32"/>
    </row>
    <row r="29" customFormat="false" ht="15" hidden="false" customHeight="false" outlineLevel="0" collapsed="false">
      <c r="A29" s="32" t="s">
        <v>182</v>
      </c>
    </row>
    <row r="30" customFormat="false" ht="15" hidden="false" customHeight="false" outlineLevel="0" collapsed="false">
      <c r="A30" s="32" t="s">
        <v>183</v>
      </c>
    </row>
    <row r="31" customFormat="false" ht="23.85" hidden="false" customHeight="false" outlineLevel="0" collapsed="false">
      <c r="A31" s="32" t="s">
        <v>184</v>
      </c>
    </row>
    <row r="32" customFormat="false" ht="15" hidden="false" customHeight="false" outlineLevel="0" collapsed="false">
      <c r="A32" s="32" t="s">
        <v>185</v>
      </c>
    </row>
    <row r="33" customFormat="false" ht="15" hidden="false" customHeight="false" outlineLevel="0" collapsed="false">
      <c r="A33" s="32"/>
    </row>
    <row r="34" customFormat="false" ht="15" hidden="false" customHeight="false" outlineLevel="0" collapsed="false">
      <c r="A34" s="32" t="s">
        <v>186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6600"/>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5" min="2" style="0" width="18"/>
  </cols>
  <sheetData>
    <row r="1" customFormat="false" ht="17.35" hidden="false" customHeight="false" outlineLevel="0" collapsed="false">
      <c r="A1" s="1" t="s">
        <v>187</v>
      </c>
      <c r="B1" s="1"/>
      <c r="C1" s="1"/>
      <c r="D1" s="1"/>
      <c r="E1" s="1"/>
    </row>
    <row r="3" customFormat="false" ht="15" hidden="false" customHeight="false" outlineLevel="0" collapsed="false">
      <c r="A3" s="31" t="s">
        <v>188</v>
      </c>
    </row>
    <row r="4" customFormat="false" ht="15" hidden="false" customHeight="false" outlineLevel="0" collapsed="false">
      <c r="A4" s="4" t="s">
        <v>138</v>
      </c>
      <c r="B4" s="4" t="s">
        <v>153</v>
      </c>
      <c r="C4" s="4" t="s">
        <v>150</v>
      </c>
    </row>
    <row r="5" customFormat="false" ht="15" hidden="false" customHeight="false" outlineLevel="0" collapsed="false">
      <c r="A5" s="10" t="s">
        <v>189</v>
      </c>
      <c r="B5" s="22" t="n">
        <f aca="false">'Pricing &amp; Comparison'!B25</f>
        <v>73.8</v>
      </c>
      <c r="C5" s="22" t="n">
        <f aca="false">'Pricing &amp; Comparison'!C25</f>
        <v>56.6865</v>
      </c>
    </row>
    <row r="6" customFormat="false" ht="15" hidden="false" customHeight="false" outlineLevel="0" collapsed="false">
      <c r="A6" s="10" t="s">
        <v>156</v>
      </c>
      <c r="B6" s="22" t="n">
        <f aca="false">'Pricing &amp; Comparison'!B26</f>
        <v>54.6666666666667</v>
      </c>
      <c r="C6" s="22" t="n">
        <f aca="false">'Pricing &amp; Comparison'!C26</f>
        <v>41.99</v>
      </c>
    </row>
    <row r="7" customFormat="false" ht="15" hidden="false" customHeight="false" outlineLevel="0" collapsed="false">
      <c r="A7" s="10" t="s">
        <v>190</v>
      </c>
      <c r="B7" s="22" t="n">
        <f aca="false">'Pricing &amp; Comparison'!B27</f>
        <v>770</v>
      </c>
      <c r="C7" s="22" t="n">
        <f aca="false">'Pricing &amp; Comparison'!C27</f>
        <v>0</v>
      </c>
    </row>
    <row r="8" customFormat="false" ht="15" hidden="false" customHeight="false" outlineLevel="0" collapsed="false">
      <c r="A8" s="10" t="s">
        <v>191</v>
      </c>
      <c r="B8" s="22" t="n">
        <f aca="false">'Pricing &amp; Comparison'!B28</f>
        <v>1.35</v>
      </c>
      <c r="C8" s="22" t="n">
        <f aca="false">'Pricing &amp; Comparison'!C28</f>
        <v>1.35</v>
      </c>
    </row>
    <row r="30" customFormat="false" ht="15" hidden="false" customHeight="false" outlineLevel="0" collapsed="false">
      <c r="A30" s="31" t="s">
        <v>192</v>
      </c>
    </row>
    <row r="31" customFormat="false" ht="15" hidden="false" customHeight="false" outlineLevel="0" collapsed="false">
      <c r="A31" s="0" t="s">
        <v>153</v>
      </c>
      <c r="B31" s="35" t="n">
        <f aca="false">'Pricing &amp; Comparison'!B27</f>
        <v>770</v>
      </c>
    </row>
    <row r="32" customFormat="false" ht="15" hidden="false" customHeight="false" outlineLevel="0" collapsed="false">
      <c r="A32" s="0" t="s">
        <v>150</v>
      </c>
      <c r="B32" s="35" t="n">
        <f aca="false">'Pricing &amp; Comparison'!C27</f>
        <v>0</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2026-03-05T03:11:25Z</dcterms:created>
  <dc:creator>openpyxl</dc:creator>
  <dc:description/>
  <dc:language>en-US</dc:language>
  <cp:lastModifiedBy/>
  <dcterms:modified xsi:type="dcterms:W3CDTF">2026-03-05T03:11:34Z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